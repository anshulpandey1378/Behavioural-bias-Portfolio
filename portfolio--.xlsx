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1" sheetId="1" r:id="rId5"/>
    <sheet state="visible" name="PORTFOLIO 2" sheetId="2" r:id="rId6"/>
    <sheet state="visible" name="PORTFOLIO 3" sheetId="3" r:id="rId7"/>
    <sheet state="visible" name="PORTFOLIO 4" sheetId="4" r:id="rId8"/>
    <sheet state="visible" name="PORTFOLIO 5" sheetId="5" r:id="rId9"/>
    <sheet state="visible" name="IOC" sheetId="6" r:id="rId10"/>
    <sheet state="visible" name="IRFC" sheetId="7" r:id="rId11"/>
    <sheet state="visible" name="HUDCO" sheetId="8" r:id="rId12"/>
    <sheet state="visible" name="AMBUJA CEMENT" sheetId="9" r:id="rId13"/>
    <sheet state="visible" name="GOLD" sheetId="10" r:id="rId14"/>
    <sheet state="visible" name="Motilal Oswal Midcap Fund" sheetId="11" r:id="rId15"/>
    <sheet state="visible" name="COPPER" sheetId="12" r:id="rId16"/>
    <sheet state="visible" name="SBI INFRA GROWTH" sheetId="13" r:id="rId17"/>
    <sheet state="visible" name="HDFC ELSS Tax saver" sheetId="14" r:id="rId18"/>
    <sheet state="visible" name="Mortgage REITs " sheetId="15" r:id="rId19"/>
    <sheet state="visible" name="Embassy Office Parks REIT" sheetId="16" r:id="rId20"/>
  </sheets>
  <definedNames>
    <definedName name="_xlchart.v1.2">'PORTFOLIO 1'!$P$5:$P$9</definedName>
    <definedName name="_xlchart.v1.0">'PORTFOLIO 1'!$P$5:$P$9</definedName>
    <definedName name="_xlchart.v1.3">'PORTFOLIO 1'!$Q$5:$Q$9</definedName>
    <definedName name="_xlchart.v1.1">'PORTFOLIO 1'!$Q$5:$Q$9</definedName>
  </definedNames>
  <calcPr/>
</workbook>
</file>

<file path=xl/sharedStrings.xml><?xml version="1.0" encoding="utf-8"?>
<sst xmlns="http://schemas.openxmlformats.org/spreadsheetml/2006/main" count="1308" uniqueCount="197">
  <si>
    <t>Stocks(Equities)</t>
  </si>
  <si>
    <t>Industry</t>
  </si>
  <si>
    <t>Stock Ticker</t>
  </si>
  <si>
    <t>Buying Date</t>
  </si>
  <si>
    <t>Buying Price</t>
  </si>
  <si>
    <t>NO OF SHARES</t>
  </si>
  <si>
    <t>INVESTMENT</t>
  </si>
  <si>
    <t>WEIGHTS</t>
  </si>
  <si>
    <t xml:space="preserve">CURRENT SHARE PRICE </t>
  </si>
  <si>
    <t>MARKET VALUE</t>
  </si>
  <si>
    <t>PROFIT</t>
  </si>
  <si>
    <t>GROWTH</t>
  </si>
  <si>
    <t>INVESTMENT PEERIOD</t>
  </si>
  <si>
    <t>stocks</t>
  </si>
  <si>
    <t>IOC</t>
  </si>
  <si>
    <t>Oil and Gas Industry</t>
  </si>
  <si>
    <t>NSE:IOC</t>
  </si>
  <si>
    <t>commodites</t>
  </si>
  <si>
    <t>HUDCO</t>
  </si>
  <si>
    <t>Housing Finance </t>
  </si>
  <si>
    <t>NSE:HUDCO</t>
  </si>
  <si>
    <t>real estate</t>
  </si>
  <si>
    <t>IRFC</t>
  </si>
  <si>
    <t>Railways</t>
  </si>
  <si>
    <t>NSE:IRFC</t>
  </si>
  <si>
    <t>cash</t>
  </si>
  <si>
    <t>AMBUJA CEMENT</t>
  </si>
  <si>
    <t>Cement Industry.</t>
  </si>
  <si>
    <t>NSE:AMBUJACEM</t>
  </si>
  <si>
    <t>mutual fund</t>
  </si>
  <si>
    <t>COMMODITIES</t>
  </si>
  <si>
    <t>NO OF COMMODITIES</t>
  </si>
  <si>
    <t>CUREENT  PRICE</t>
  </si>
  <si>
    <t>GOLD</t>
  </si>
  <si>
    <t>COPPER</t>
  </si>
  <si>
    <t>MUTUAL FUND</t>
  </si>
  <si>
    <t>CODE</t>
  </si>
  <si>
    <t>AVG BUYING</t>
  </si>
  <si>
    <t>UNITS</t>
  </si>
  <si>
    <t>CURRENT NAV</t>
  </si>
  <si>
    <t>Motilal Oswal Midcap Fund</t>
  </si>
  <si>
    <t>MUTF_IN:MOTI_OSWA_MIDC_DKG7Y8</t>
  </si>
  <si>
    <t>SBI INFRA GROWTH</t>
  </si>
  <si>
    <t>MUTF_IN:SBI_INFR_REG_1Y8JEZS</t>
  </si>
  <si>
    <t>HDFC ELSS Tax saver</t>
  </si>
  <si>
    <t>MUTF_IN:HDFC_ELSS_TAXS_1U6FA9F</t>
  </si>
  <si>
    <t>REAL ESTATE</t>
  </si>
  <si>
    <t>CURRENT PRICE</t>
  </si>
  <si>
    <t xml:space="preserve">Mortgage REITs </t>
  </si>
  <si>
    <t>Embassy Office Parks REIT</t>
  </si>
  <si>
    <t xml:space="preserve">WEIGHTS </t>
  </si>
  <si>
    <t>RETURN</t>
  </si>
  <si>
    <t>RETURN OF PORTFOLIO</t>
  </si>
  <si>
    <t>Annual return</t>
  </si>
  <si>
    <t>Std</t>
  </si>
  <si>
    <t>Variance</t>
  </si>
  <si>
    <t>Annual variance</t>
  </si>
  <si>
    <t>Annual std</t>
  </si>
  <si>
    <t>-%</t>
  </si>
  <si>
    <t>Date</t>
  </si>
  <si>
    <t>Close*</t>
  </si>
  <si>
    <t>DATE</t>
  </si>
  <si>
    <t>PRICE</t>
  </si>
  <si>
    <t>Mar 26, 2024</t>
  </si>
  <si>
    <t>-</t>
  </si>
  <si>
    <t>Mar 22, 2024</t>
  </si>
  <si>
    <t>Mar 21, 2024</t>
  </si>
  <si>
    <t>RISK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</si>
  <si>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</si>
  <si>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</si>
  <si>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</si>
  <si>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</si>
  <si>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</si>
  <si>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</si>
  <si>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</si>
  <si>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</si>
  <si>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07, 2024</t>
  </si>
  <si>
    <t>Mar 06, 2024</t>
  </si>
  <si>
    <t>Mar 05, 2024</t>
  </si>
  <si>
    <t>Mar 04, 2024</t>
  </si>
  <si>
    <t>Mar 01,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</si>
  <si>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</si>
  <si>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</si>
  <si>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</si>
  <si>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</si>
  <si>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</si>
  <si>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</si>
  <si>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</si>
  <si>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</si>
  <si>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19, 2024</t>
  </si>
  <si>
    <t>Feb 16, 2024</t>
  </si>
  <si>
    <t>Feb 15, 2024</t>
  </si>
  <si>
    <t>Feb 14, 2024</t>
  </si>
  <si>
    <t>Feb 13, 2024</t>
  </si>
  <si>
    <t>Feb 12, 2024</t>
  </si>
  <si>
    <t>Feb 09, 2024</t>
  </si>
  <si>
    <t>Feb 08, 2024</t>
  </si>
  <si>
    <t>Feb 07, 2024</t>
  </si>
  <si>
    <t>Feb 06, 2024</t>
  </si>
  <si>
    <t>Feb 05, 2024</t>
  </si>
  <si>
    <t>Feb 02, 2024</t>
  </si>
  <si>
    <t>Feb 01, 2024</t>
  </si>
  <si>
    <t>Jan 31, 2024</t>
  </si>
  <si>
    <t>Jan 30, 2024</t>
  </si>
  <si>
    <t>Jan 29, 2024</t>
  </si>
  <si>
    <t>Jan 25, 2024</t>
  </si>
  <si>
    <t>Jan 24, 2024</t>
  </si>
  <si>
    <t>Jan 23, 2024</t>
  </si>
  <si>
    <t>Jan 19, 2024</t>
  </si>
  <si>
    <t>Jan 18, 2024</t>
  </si>
  <si>
    <t>Jan 17, 2024</t>
  </si>
  <si>
    <t>Jan 16, 2024</t>
  </si>
  <si>
    <t>Jan 15, 2024</t>
  </si>
  <si>
    <t>Jan 12, 2024</t>
  </si>
  <si>
    <t>Jan 11, 2024</t>
  </si>
  <si>
    <t>Jan 10, 2024</t>
  </si>
  <si>
    <t>Jan 09, 2024</t>
  </si>
  <si>
    <t>Jan 08, 2024</t>
  </si>
  <si>
    <t>Jan 05, 2024</t>
  </si>
  <si>
    <t>Jan 04, 2024</t>
  </si>
  <si>
    <t>Jan 03, 2024</t>
  </si>
  <si>
    <t>Jan 02, 2024</t>
  </si>
  <si>
    <t>Jan 01,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</si>
  <si>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</si>
  <si>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</si>
  <si>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</si>
  <si>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</si>
  <si>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</si>
  <si>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</si>
  <si>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</si>
  <si>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</si>
  <si>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</si>
  <si>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</si>
  <si>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</si>
  <si>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</si>
  <si>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</si>
  <si>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</si>
  <si>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08, 2023</t>
  </si>
  <si>
    <t>Dec 07, 2023</t>
  </si>
  <si>
    <t>Dec 06, 2023</t>
  </si>
  <si>
    <t>Dec 05, 2023</t>
  </si>
  <si>
    <t>Dec 04, 2023</t>
  </si>
  <si>
    <t>Dec 01, 2023</t>
  </si>
  <si>
    <t>Nov 30, 2023</t>
  </si>
  <si>
    <t>Nov 29, 2023</t>
  </si>
  <si>
    <t>Nov 28, 2023</t>
  </si>
  <si>
    <t>Nov 24, 2023</t>
  </si>
  <si>
    <t>Nov 23, 2023</t>
  </si>
  <si>
    <t>Nov 22, 2023</t>
  </si>
  <si>
    <t>Nov 21, 2023</t>
  </si>
  <si>
    <t>Nov 20, 2023</t>
  </si>
  <si>
    <t>Nov 17, 2023</t>
  </si>
  <si>
    <t>Nov 16, 2023</t>
  </si>
  <si>
    <t>Nov 15, 2023</t>
  </si>
  <si>
    <t>Nov 13, 2023</t>
  </si>
  <si>
    <t>Nov 10, 2023</t>
  </si>
  <si>
    <t>Nov 09, 2023</t>
  </si>
  <si>
    <t>Nov 08, 2023</t>
  </si>
  <si>
    <t>Nov 07, 2023</t>
  </si>
  <si>
    <t>Nov 06, 2023</t>
  </si>
  <si>
    <t>Nov 03, 2023</t>
  </si>
  <si>
    <t>Nov 02, 2023</t>
  </si>
  <si>
    <t>Nov 01, 2023</t>
  </si>
  <si>
    <t>Oct 31, 2023</t>
  </si>
  <si>
    <t>Oct 30, 2023</t>
  </si>
  <si>
    <t>Oct 27, 2023</t>
  </si>
  <si>
    <t>Oct 26, 2023</t>
  </si>
  <si>
    <t xml:space="preserve">        -</t>
  </si>
  <si>
    <t xml:space="preserve">DATE </t>
  </si>
  <si>
    <t>RETURNS</t>
  </si>
  <si>
    <t>Mar 27, 2024</t>
  </si>
  <si>
    <t>Price</t>
  </si>
  <si>
    <t>Chg%</t>
  </si>
  <si>
    <t>Mar 25, 2024</t>
  </si>
  <si>
    <t>Mar 08, 2024</t>
  </si>
  <si>
    <t>Jan 26, 2024</t>
  </si>
  <si>
    <t>Jan 22, 2024</t>
  </si>
  <si>
    <t>Dec 25, 2023</t>
  </si>
  <si>
    <t>Nov 27, 2023</t>
  </si>
  <si>
    <t>Nov 14, 2023</t>
  </si>
  <si>
    <t>NAV</t>
  </si>
  <si>
    <t>NAV RETURNS</t>
  </si>
  <si>
    <t>NAV Date</t>
  </si>
  <si>
    <t>NAV (Rs)</t>
  </si>
  <si>
    <t>Mar 24, 2024</t>
  </si>
  <si>
    <t>Feb 18, 2024</t>
  </si>
  <si>
    <t>Jan 14, 2024</t>
  </si>
  <si>
    <t>Open</t>
  </si>
  <si>
    <t>High</t>
  </si>
  <si>
    <t>Low</t>
  </si>
  <si>
    <t>Volume</t>
  </si>
  <si>
    <t>Mar 02, 2024</t>
  </si>
  <si>
    <t>Feb 12, 2024 D</t>
  </si>
  <si>
    <t>Feb 01, 2024 E</t>
  </si>
  <si>
    <t>Jan 20, 2024</t>
  </si>
  <si>
    <t>Nov 12, 2023</t>
  </si>
  <si>
    <t>Nov 03, 2023 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</si>
</sst>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₹&quot;* #,##0.00_);_(&quot;₹&quot;* \(#,##0.00\);_(&quot;₹&quot;* &quot;-&quot;??_);_(@_)"/>
    <numFmt numFmtId="165" formatCode="_(&quot;₹&quot;* #,##0_);_(&quot;₹&quot;* \(#,##0\);_(&quot;₹&quot;* &quot;-&quot;??_);_(@_)"/>
    <numFmt numFmtId="166" formatCode="m/d/yyyy"/>
    <numFmt numFmtId="167" formatCode="0.0000"/>
    <numFmt numFmtId="168" formatCode="0.0%"/>
  </numFmts>
  <fonts count="34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sz val="13.0"/>
      <color rgb="FF232A31"/>
      <name val="Helvetica Neue"/>
    </font>
    <font>
      <b/>
      <sz val="9.0"/>
      <color rgb="FF474747"/>
      <name val="Calibri"/>
    </font>
    <font>
      <sz val="10.0"/>
      <color rgb="FF000000"/>
      <name val="Arial"/>
    </font>
    <font>
      <sz val="8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sz val="12.0"/>
      <color rgb="FF000000"/>
      <name val="&quot;Calibri Light&quot;"/>
    </font>
    <font>
      <sz val="11.0"/>
      <color rgb="FF000000"/>
      <name val="Arial"/>
    </font>
    <font>
      <sz val="12.0"/>
      <color rgb="FF0D0D0D"/>
      <name val="Söhne"/>
    </font>
    <font>
      <sz val="12.0"/>
      <color rgb="FF000000"/>
      <name val="Söhne"/>
    </font>
    <font>
      <sz val="13.0"/>
      <color theme="1"/>
      <name val="Calibri"/>
    </font>
    <font>
      <sz val="11.0"/>
      <color rgb="FF232A31"/>
      <name val="Helvetica Neue"/>
    </font>
    <font>
      <sz val="10.0"/>
      <color rgb="FF232A31"/>
      <name val="Helvetica Neue"/>
    </font>
    <font>
      <sz val="14.0"/>
      <color theme="1"/>
      <name val="Calibri"/>
    </font>
    <font>
      <sz val="16.0"/>
      <color rgb="FF66758A"/>
      <name val="Arial"/>
    </font>
    <font>
      <sz val="16.0"/>
      <color rgb="FF000000"/>
      <name val="Calibri"/>
    </font>
    <font>
      <sz val="16.0"/>
      <color rgb="FF000000"/>
      <name val="Arial"/>
    </font>
    <font>
      <sz val="16.0"/>
      <color rgb="FF0EA600"/>
      <name val="Arial"/>
    </font>
    <font>
      <sz val="16.0"/>
      <color rgb="FFFF0000"/>
      <name val="Arial"/>
    </font>
    <font>
      <b/>
      <sz val="12.0"/>
      <color rgb="FF333333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sz val="12.0"/>
      <color rgb="FF333333"/>
      <name val="Helvetica Neue"/>
    </font>
    <font>
      <sz val="12.0"/>
      <color rgb="FF666666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1" numFmtId="14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2" fillId="0" fontId="7" numFmtId="10" xfId="0" applyBorder="1" applyFont="1" applyNumberFormat="1"/>
    <xf borderId="2" fillId="0" fontId="1" numFmtId="9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0" fillId="0" fontId="8" numFmtId="14" xfId="0" applyAlignment="1" applyFont="1" applyNumberFormat="1">
      <alignment horizontal="center"/>
    </xf>
    <xf borderId="2" fillId="0" fontId="9" numFmtId="0" xfId="0" applyAlignment="1" applyBorder="1" applyFont="1">
      <alignment horizontal="center"/>
    </xf>
    <xf borderId="2" fillId="0" fontId="1" numFmtId="2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/>
    </xf>
    <xf borderId="5" fillId="0" fontId="1" numFmtId="14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2" fillId="0" fontId="11" numFmtId="2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9" fillId="0" fontId="1" numFmtId="0" xfId="0" applyAlignment="1" applyBorder="1" applyFont="1">
      <alignment horizontal="center"/>
    </xf>
    <xf borderId="2" fillId="0" fontId="12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1" numFmtId="1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 readingOrder="0"/>
    </xf>
    <xf borderId="2" fillId="0" fontId="1" numFmtId="14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2" fillId="0" fontId="1" numFmtId="166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3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center"/>
    </xf>
    <xf borderId="2" fillId="0" fontId="15" numFmtId="0" xfId="0" applyAlignment="1" applyBorder="1" applyFont="1">
      <alignment horizontal="center" readingOrder="0"/>
    </xf>
    <xf borderId="2" fillId="0" fontId="15" numFmtId="10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9" fillId="0" fontId="15" numFmtId="0" xfId="0" applyAlignment="1" applyBorder="1" applyFont="1">
      <alignment horizontal="center"/>
    </xf>
    <xf borderId="9" fillId="0" fontId="15" numFmtId="10" xfId="0" applyAlignment="1" applyBorder="1" applyFont="1" applyNumberFormat="1">
      <alignment horizontal="center"/>
    </xf>
    <xf borderId="18" fillId="0" fontId="15" numFmtId="0" xfId="0" applyAlignment="1" applyBorder="1" applyFont="1">
      <alignment horizontal="center" readingOrder="0"/>
    </xf>
    <xf borderId="19" fillId="0" fontId="15" numFmtId="10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5" numFmtId="10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0" fillId="2" fontId="1" numFmtId="0" xfId="0" applyAlignment="1" applyBorder="1" applyFill="1" applyFont="1">
      <alignment horizontal="center" readingOrder="0"/>
    </xf>
    <xf borderId="10" fillId="2" fontId="1" numFmtId="10" xfId="0" applyAlignment="1" applyBorder="1" applyFont="1" applyNumberFormat="1">
      <alignment horizontal="center"/>
    </xf>
    <xf borderId="2" fillId="2" fontId="7" numFmtId="0" xfId="0" applyAlignment="1" applyBorder="1" applyFont="1">
      <alignment horizontal="center" readingOrder="0"/>
    </xf>
    <xf borderId="2" fillId="2" fontId="1" numFmtId="10" xfId="0" applyAlignment="1" applyBorder="1" applyFont="1" applyNumberFormat="1">
      <alignment horizontal="center" readingOrder="0"/>
    </xf>
    <xf borderId="2" fillId="2" fontId="8" numFmtId="10" xfId="0" applyAlignment="1" applyBorder="1" applyFont="1" applyNumberFormat="1">
      <alignment horizontal="center" readingOrder="0" vertical="bottom"/>
    </xf>
    <xf borderId="2" fillId="2" fontId="16" numFmtId="10" xfId="0" applyAlignment="1" applyBorder="1" applyFont="1" applyNumberFormat="1">
      <alignment horizontal="center" readingOrder="0" vertical="bottom"/>
    </xf>
    <xf borderId="2" fillId="2" fontId="17" numFmtId="10" xfId="0" applyAlignment="1" applyBorder="1" applyFont="1" applyNumberFormat="1">
      <alignment horizontal="center" readingOrder="0" vertical="bottom"/>
    </xf>
    <xf borderId="2" fillId="2" fontId="1" numFmtId="10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2" fillId="0" fontId="7" numFmtId="10" xfId="0" applyAlignment="1" applyBorder="1" applyFont="1" applyNumberFormat="1">
      <alignment readingOrder="0"/>
    </xf>
    <xf borderId="2" fillId="0" fontId="1" numFmtId="1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0" xfId="0" applyFont="1" applyNumberFormat="1"/>
    <xf borderId="2" fillId="0" fontId="7" numFmtId="9" xfId="0" applyAlignment="1" applyBorder="1" applyFont="1" applyNumberFormat="1">
      <alignment readingOrder="0"/>
    </xf>
    <xf borderId="0" fillId="0" fontId="18" numFmtId="0" xfId="0" applyAlignment="1" applyFont="1">
      <alignment readingOrder="0"/>
    </xf>
    <xf borderId="0" fillId="0" fontId="19" numFmtId="0" xfId="0" applyFont="1"/>
    <xf borderId="0" fillId="0" fontId="19" numFmtId="0" xfId="0" applyFont="1"/>
    <xf borderId="0" fillId="0" fontId="7" numFmtId="0" xfId="0" applyFont="1"/>
    <xf borderId="0" fillId="0" fontId="20" numFmtId="0" xfId="0" applyFont="1"/>
    <xf borderId="20" fillId="3" fontId="1" numFmtId="0" xfId="0" applyAlignment="1" applyBorder="1" applyFill="1" applyFont="1">
      <alignment horizontal="center"/>
    </xf>
    <xf borderId="0" fillId="0" fontId="7" numFmtId="0" xfId="0" applyAlignment="1" applyFont="1">
      <alignment readingOrder="0"/>
    </xf>
    <xf borderId="0" fillId="0" fontId="1" numFmtId="167" xfId="0" applyFont="1" applyNumberFormat="1"/>
    <xf borderId="0" fillId="0" fontId="1" numFmtId="10" xfId="0" applyFont="1" applyNumberFormat="1"/>
    <xf borderId="0" fillId="0" fontId="9" numFmtId="0" xfId="0" applyAlignment="1" applyFont="1">
      <alignment horizontal="center"/>
    </xf>
    <xf borderId="0" fillId="0" fontId="9" numFmtId="3" xfId="0" applyAlignment="1" applyFont="1" applyNumberFormat="1">
      <alignment horizontal="center"/>
    </xf>
    <xf borderId="0" fillId="0" fontId="9" numFmtId="9" xfId="0" applyAlignment="1" applyFont="1" applyNumberForma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quotePrefix="1" borderId="0" fillId="0" fontId="9" numFmtId="0" xfId="0" applyAlignment="1" applyFont="1">
      <alignment horizontal="center"/>
    </xf>
    <xf borderId="0" fillId="0" fontId="9" numFmtId="10" xfId="0" applyAlignment="1" applyFont="1" applyNumberFormat="1">
      <alignment horizontal="center"/>
    </xf>
    <xf borderId="0" fillId="0" fontId="1" numFmtId="168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quotePrefix="1" borderId="0" fillId="0" fontId="1" numFmtId="0" xfId="0" applyAlignment="1" applyFont="1">
      <alignment horizontal="center"/>
    </xf>
    <xf borderId="0" fillId="0" fontId="26" numFmtId="0" xfId="0" applyAlignment="1" applyFont="1">
      <alignment horizontal="center"/>
    </xf>
    <xf borderId="0" fillId="0" fontId="27" numFmtId="4" xfId="0" applyAlignment="1" applyFont="1" applyNumberFormat="1">
      <alignment horizontal="center"/>
    </xf>
    <xf borderId="0" fillId="0" fontId="27" numFmtId="10" xfId="0" applyAlignment="1" applyFont="1" applyNumberFormat="1">
      <alignment horizontal="center"/>
    </xf>
    <xf borderId="0" fillId="0" fontId="28" numFmtId="4" xfId="0" applyAlignment="1" applyFont="1" applyNumberFormat="1">
      <alignment horizontal="center"/>
    </xf>
    <xf borderId="0" fillId="0" fontId="28" numFmtId="10" xfId="0" applyAlignment="1" applyFont="1" applyNumberFormat="1">
      <alignment horizontal="center"/>
    </xf>
    <xf borderId="0" fillId="0" fontId="29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0" numFmtId="10" xfId="0" applyAlignment="1" applyFont="1" applyNumberFormat="1">
      <alignment horizontal="center"/>
    </xf>
    <xf borderId="0" fillId="0" fontId="32" numFmtId="0" xfId="0" applyAlignment="1" applyFont="1">
      <alignment horizontal="center"/>
    </xf>
    <xf borderId="0" fillId="0" fontId="33" numFmtId="0" xfId="0" applyAlignment="1" applyFont="1">
      <alignment horizontal="center"/>
    </xf>
    <xf borderId="0" fillId="0" fontId="33" numFmtId="14" xfId="0" applyAlignment="1" applyFont="1" applyNumberFormat="1">
      <alignment horizontal="center"/>
    </xf>
    <xf borderId="0" fillId="0" fontId="28" numFmtId="0" xfId="0" applyAlignment="1" applyFont="1">
      <alignment horizontal="center"/>
    </xf>
    <xf borderId="0" fillId="0" fontId="27" numFmtId="0" xfId="0" applyAlignment="1" applyFont="1">
      <alignment horizontal="center"/>
    </xf>
    <xf borderId="0" fillId="0" fontId="1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ASSET ALLOCATION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'PORTFOLIO 1'!$P$5:$P$9</c:f>
            </c:strRef>
          </c:cat>
          <c:val>
            <c:numRef>
              <c:f>'PORTFOLIO 1'!$Q$5:$Q$9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1057275</xdr:colOff>
      <xdr:row>9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20.89"/>
    <col customWidth="1" min="4" max="4" width="15.11"/>
    <col customWidth="1" min="5" max="5" width="12.11"/>
    <col customWidth="1" min="6" max="6" width="13.0"/>
    <col customWidth="1" min="7" max="7" width="20.67"/>
    <col customWidth="1" min="8" max="8" width="16.0"/>
    <col customWidth="1" min="9" max="9" width="20.44"/>
    <col customWidth="1" min="10" max="10" width="25.44"/>
    <col customWidth="1" min="11" max="11" width="15.0"/>
    <col customWidth="1" min="12" max="12" width="17.56"/>
    <col customWidth="1" min="13" max="13" width="24.67"/>
    <col customWidth="1" min="14" max="14" width="20.11"/>
    <col customWidth="1" min="15" max="15" width="25.33"/>
    <col customWidth="1" min="16" max="16" width="17.78"/>
    <col customWidth="1" min="17" max="17" width="17.11"/>
    <col customWidth="1" min="18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2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2"/>
      <c r="H3" s="1"/>
      <c r="I3" s="3"/>
      <c r="J3" s="1"/>
      <c r="K3" s="1"/>
      <c r="L3" s="1"/>
      <c r="M3" s="1"/>
      <c r="N3" s="1"/>
      <c r="P3" s="4">
        <v>1.0E7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0</v>
      </c>
      <c r="C5" s="6" t="s">
        <v>1</v>
      </c>
      <c r="D5" s="7" t="s">
        <v>2</v>
      </c>
      <c r="E5" s="6" t="s">
        <v>3</v>
      </c>
      <c r="F5" s="6" t="s">
        <v>4</v>
      </c>
      <c r="G5" s="8" t="s">
        <v>5</v>
      </c>
      <c r="H5" s="8" t="s">
        <v>6</v>
      </c>
      <c r="I5" s="9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P5" s="10" t="s">
        <v>13</v>
      </c>
      <c r="Q5" s="11">
        <f>P3*40%</f>
        <v>4000000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2" t="s">
        <v>14</v>
      </c>
      <c r="C6" s="10" t="s">
        <v>15</v>
      </c>
      <c r="D6" s="13" t="s">
        <v>16</v>
      </c>
      <c r="E6" s="14">
        <v>45225.0</v>
      </c>
      <c r="F6" s="10">
        <v>86.2</v>
      </c>
      <c r="G6" s="15">
        <v>16241.0</v>
      </c>
      <c r="H6" s="16">
        <f t="shared" ref="H6:H7" si="1">F6*G6</f>
        <v>1399974.2</v>
      </c>
      <c r="I6" s="17">
        <f t="shared" ref="I6:I9" si="2">H6/10000000</f>
        <v>0.13999742</v>
      </c>
      <c r="J6" s="11">
        <f>IFERROR(__xludf.DUMMYFUNCTION("GOOGLEFINANCE(D6)"),176.72)</f>
        <v>176.72</v>
      </c>
      <c r="K6" s="11">
        <f t="shared" ref="K6:K9" si="3">J6*G6</f>
        <v>2870109.52</v>
      </c>
      <c r="L6" s="11">
        <f t="shared" ref="L6:L9" si="4">K6-H6</f>
        <v>1470135.32</v>
      </c>
      <c r="M6" s="18">
        <f t="shared" ref="M6:M9" si="5">(K6-H6)/H6</f>
        <v>1.050116009</v>
      </c>
      <c r="N6" s="15">
        <f t="shared" ref="N6:N9" si="6">TODAY()-E6</f>
        <v>842</v>
      </c>
      <c r="P6" s="10" t="s">
        <v>17</v>
      </c>
      <c r="Q6" s="11">
        <f>20%*P3</f>
        <v>2000000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9" t="s">
        <v>18</v>
      </c>
      <c r="C7" s="10" t="s">
        <v>19</v>
      </c>
      <c r="D7" s="13" t="s">
        <v>20</v>
      </c>
      <c r="E7" s="20">
        <v>45229.0</v>
      </c>
      <c r="F7" s="21">
        <v>74.95</v>
      </c>
      <c r="G7" s="22">
        <v>2668.0</v>
      </c>
      <c r="H7" s="16">
        <f t="shared" si="1"/>
        <v>199966.6</v>
      </c>
      <c r="I7" s="17">
        <f t="shared" si="2"/>
        <v>0.01999666</v>
      </c>
      <c r="J7" s="11">
        <f>IFERROR(__xludf.DUMMYFUNCTION("GOOGLEFINANCE(D7)"),195.4)</f>
        <v>195.4</v>
      </c>
      <c r="K7" s="11">
        <f t="shared" si="3"/>
        <v>521327.2</v>
      </c>
      <c r="L7" s="11">
        <f t="shared" si="4"/>
        <v>321360.6</v>
      </c>
      <c r="M7" s="18">
        <f t="shared" si="5"/>
        <v>1.607071381</v>
      </c>
      <c r="N7" s="15">
        <f t="shared" si="6"/>
        <v>838</v>
      </c>
      <c r="P7" s="10" t="s">
        <v>21</v>
      </c>
      <c r="Q7" s="11">
        <f>20%*P3</f>
        <v>2000000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22</v>
      </c>
      <c r="C8" s="23" t="s">
        <v>23</v>
      </c>
      <c r="D8" s="13" t="s">
        <v>24</v>
      </c>
      <c r="E8" s="24">
        <v>45225.0</v>
      </c>
      <c r="F8" s="21">
        <v>70.2</v>
      </c>
      <c r="G8" s="15">
        <v>11399.0</v>
      </c>
      <c r="H8" s="25">
        <v>1000000.0</v>
      </c>
      <c r="I8" s="17">
        <f t="shared" si="2"/>
        <v>0.1</v>
      </c>
      <c r="J8" s="11">
        <f>IFERROR(__xludf.DUMMYFUNCTION("GOOGLEFINANCE(D8)"),111.4)</f>
        <v>111.4</v>
      </c>
      <c r="K8" s="11">
        <f t="shared" si="3"/>
        <v>1269848.6</v>
      </c>
      <c r="L8" s="11">
        <f t="shared" si="4"/>
        <v>269848.6</v>
      </c>
      <c r="M8" s="18">
        <f t="shared" si="5"/>
        <v>0.2698486</v>
      </c>
      <c r="N8" s="15">
        <f t="shared" si="6"/>
        <v>842</v>
      </c>
      <c r="P8" s="11" t="s">
        <v>25</v>
      </c>
      <c r="Q8" s="11">
        <f>P3*5%</f>
        <v>500000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26</v>
      </c>
      <c r="C9" s="10" t="s">
        <v>27</v>
      </c>
      <c r="D9" s="26" t="s">
        <v>28</v>
      </c>
      <c r="E9" s="24">
        <v>45240.0</v>
      </c>
      <c r="F9" s="21">
        <v>418.1</v>
      </c>
      <c r="G9" s="15">
        <v>2869.0</v>
      </c>
      <c r="H9" s="16">
        <f>F9*G9</f>
        <v>1199528.9</v>
      </c>
      <c r="I9" s="17">
        <f t="shared" si="2"/>
        <v>0.11995289</v>
      </c>
      <c r="J9" s="11">
        <f>IFERROR(__xludf.DUMMYFUNCTION("GOOGLEFINANCE(D9)"),518.75)</f>
        <v>518.75</v>
      </c>
      <c r="K9" s="11">
        <f t="shared" si="3"/>
        <v>1488293.75</v>
      </c>
      <c r="L9" s="11">
        <f t="shared" si="4"/>
        <v>288764.85</v>
      </c>
      <c r="M9" s="18">
        <f t="shared" si="5"/>
        <v>0.2407318823</v>
      </c>
      <c r="N9" s="15">
        <f t="shared" si="6"/>
        <v>827</v>
      </c>
      <c r="P9" s="10" t="s">
        <v>29</v>
      </c>
      <c r="Q9" s="11">
        <f>P3*15%</f>
        <v>1500000</v>
      </c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7" t="s">
        <v>30</v>
      </c>
      <c r="C10" s="1"/>
      <c r="D10" s="1"/>
      <c r="E10" s="6" t="s">
        <v>3</v>
      </c>
      <c r="F10" s="6" t="s">
        <v>4</v>
      </c>
      <c r="G10" s="8" t="s">
        <v>31</v>
      </c>
      <c r="H10" s="28" t="s">
        <v>6</v>
      </c>
      <c r="I10" s="17"/>
      <c r="J10" s="28" t="s">
        <v>32</v>
      </c>
      <c r="K10" s="11"/>
      <c r="L10" s="11"/>
      <c r="M10" s="18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9" t="s">
        <v>33</v>
      </c>
      <c r="C11" s="1"/>
      <c r="D11" s="1"/>
      <c r="E11" s="14">
        <v>45210.0</v>
      </c>
      <c r="F11" s="10">
        <v>1937.7</v>
      </c>
      <c r="G11" s="15">
        <v>516.0</v>
      </c>
      <c r="H11" s="11">
        <f t="shared" ref="H11:H12" si="7">G11*F11</f>
        <v>999853.2</v>
      </c>
      <c r="I11" s="17">
        <f t="shared" ref="I11:I12" si="8">H11/10000000</f>
        <v>0.09998532</v>
      </c>
      <c r="J11" s="30">
        <v>2178.0</v>
      </c>
      <c r="K11" s="11">
        <f t="shared" ref="K11:K12" si="9">J11*G11</f>
        <v>1123848</v>
      </c>
      <c r="L11" s="11">
        <f t="shared" ref="L11:L12" si="10">K11-H11</f>
        <v>123994.8</v>
      </c>
      <c r="M11" s="18">
        <f t="shared" ref="M11:M12" si="11">(K11-H11)/H11</f>
        <v>0.1240130051</v>
      </c>
      <c r="N11" s="15">
        <f t="shared" ref="N11:N12" si="12">TODAY()-E11</f>
        <v>857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9" t="s">
        <v>34</v>
      </c>
      <c r="C12" s="1"/>
      <c r="D12" s="1"/>
      <c r="E12" s="14">
        <v>45256.0</v>
      </c>
      <c r="F12" s="10">
        <v>3.5845</v>
      </c>
      <c r="G12" s="15">
        <v>278978.0</v>
      </c>
      <c r="H12" s="11">
        <f t="shared" si="7"/>
        <v>999996.641</v>
      </c>
      <c r="I12" s="17">
        <f t="shared" si="8"/>
        <v>0.0999996641</v>
      </c>
      <c r="J12" s="10">
        <v>4.0072</v>
      </c>
      <c r="K12" s="11">
        <f t="shared" si="9"/>
        <v>1117920.642</v>
      </c>
      <c r="L12" s="11">
        <f t="shared" si="10"/>
        <v>117924.0006</v>
      </c>
      <c r="M12" s="18">
        <f t="shared" si="11"/>
        <v>0.1179243967</v>
      </c>
      <c r="N12" s="15">
        <f t="shared" si="12"/>
        <v>811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31" t="s">
        <v>35</v>
      </c>
      <c r="C13" s="32" t="s">
        <v>36</v>
      </c>
      <c r="D13" s="1"/>
      <c r="E13" s="33" t="s">
        <v>3</v>
      </c>
      <c r="F13" s="9" t="s">
        <v>37</v>
      </c>
      <c r="G13" s="34" t="s">
        <v>38</v>
      </c>
      <c r="H13" s="28" t="s">
        <v>6</v>
      </c>
      <c r="I13" s="17"/>
      <c r="J13" s="35" t="s">
        <v>39</v>
      </c>
      <c r="K13" s="11"/>
      <c r="L13" s="11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6" t="s">
        <v>40</v>
      </c>
      <c r="C14" s="37" t="s">
        <v>41</v>
      </c>
      <c r="D14" s="1"/>
      <c r="E14" s="14">
        <v>45225.0</v>
      </c>
      <c r="F14" s="38">
        <v>60.82</v>
      </c>
      <c r="G14" s="39">
        <v>4932.587964485367</v>
      </c>
      <c r="H14" s="11">
        <f t="shared" ref="H14:H16" si="13">G14*F14</f>
        <v>300000</v>
      </c>
      <c r="I14" s="17">
        <f t="shared" ref="I14:I16" si="14">H14/10000000</f>
        <v>0.03</v>
      </c>
      <c r="J14" s="11">
        <f>IFERROR(__xludf.DUMMYFUNCTION("GOOGLEFINANCE(C14)"),92.47)</f>
        <v>92.47</v>
      </c>
      <c r="K14" s="11">
        <f t="shared" ref="K14:K16" si="15">J14*G14</f>
        <v>456116.4091</v>
      </c>
      <c r="L14" s="11">
        <f t="shared" ref="L14:L16" si="16">K14-H14</f>
        <v>156116.4091</v>
      </c>
      <c r="M14" s="18">
        <f t="shared" ref="M14:M16" si="17">(K14-H14)/H14</f>
        <v>0.5203880303</v>
      </c>
      <c r="N14" s="10">
        <f t="shared" ref="N14:N16" si="18">TODAY()-E14</f>
        <v>842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9" t="s">
        <v>42</v>
      </c>
      <c r="C15" s="40" t="s">
        <v>43</v>
      </c>
      <c r="D15" s="1"/>
      <c r="E15" s="41">
        <v>45225.0</v>
      </c>
      <c r="F15" s="38">
        <v>34.44</v>
      </c>
      <c r="G15" s="39">
        <v>15243.902439024392</v>
      </c>
      <c r="H15" s="11">
        <f t="shared" si="13"/>
        <v>525000</v>
      </c>
      <c r="I15" s="17">
        <f t="shared" si="14"/>
        <v>0.0525</v>
      </c>
      <c r="J15" s="11">
        <f>IFERROR(__xludf.DUMMYFUNCTION("GOOGLEFINANCE(C15)"),48.85)</f>
        <v>48.85</v>
      </c>
      <c r="K15" s="11">
        <f t="shared" si="15"/>
        <v>744664.6341</v>
      </c>
      <c r="L15" s="11">
        <f t="shared" si="16"/>
        <v>219664.6341</v>
      </c>
      <c r="M15" s="18">
        <f t="shared" si="17"/>
        <v>0.4184088269</v>
      </c>
      <c r="N15" s="10">
        <f t="shared" si="18"/>
        <v>842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2" t="s">
        <v>44</v>
      </c>
      <c r="C16" s="37" t="s">
        <v>45</v>
      </c>
      <c r="D16" s="1"/>
      <c r="E16" s="41">
        <v>45225.0</v>
      </c>
      <c r="F16" s="38">
        <v>924.62</v>
      </c>
      <c r="G16" s="32">
        <v>730.0</v>
      </c>
      <c r="H16" s="11">
        <f t="shared" si="13"/>
        <v>674972.6</v>
      </c>
      <c r="I16" s="17">
        <f t="shared" si="14"/>
        <v>0.06749726</v>
      </c>
      <c r="J16" s="11">
        <f>IFERROR(__xludf.DUMMYFUNCTION("GOOGLEFINANCE(C16)"),1438.23)</f>
        <v>1438.23</v>
      </c>
      <c r="K16" s="11">
        <f t="shared" si="15"/>
        <v>1049907.9</v>
      </c>
      <c r="L16" s="11">
        <f t="shared" si="16"/>
        <v>374935.3</v>
      </c>
      <c r="M16" s="18">
        <f t="shared" si="17"/>
        <v>0.5554822522</v>
      </c>
      <c r="N16" s="10">
        <f t="shared" si="18"/>
        <v>842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3" t="s">
        <v>46</v>
      </c>
      <c r="C17" s="1"/>
      <c r="D17" s="1"/>
      <c r="E17" s="14"/>
      <c r="F17" s="10"/>
      <c r="G17" s="10"/>
      <c r="H17" s="11"/>
      <c r="I17" s="17"/>
      <c r="J17" s="32" t="s">
        <v>47</v>
      </c>
      <c r="K17" s="11"/>
      <c r="L17" s="11"/>
      <c r="M17" s="18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 t="s">
        <v>48</v>
      </c>
      <c r="C18" s="1"/>
      <c r="D18" s="1"/>
      <c r="E18" s="45">
        <v>45226.0</v>
      </c>
      <c r="F18" s="32">
        <v>2.23</v>
      </c>
      <c r="G18" s="46">
        <v>493273.0</v>
      </c>
      <c r="H18" s="10">
        <f t="shared" ref="H18:H19" si="19">G18*F18</f>
        <v>1099998.79</v>
      </c>
      <c r="I18" s="17">
        <f t="shared" ref="I18:I19" si="20">H18/10000000</f>
        <v>0.109999879</v>
      </c>
      <c r="J18" s="47">
        <v>2.66</v>
      </c>
      <c r="K18" s="11">
        <f t="shared" ref="K18:K19" si="21">J18*G18</f>
        <v>1312106.18</v>
      </c>
      <c r="L18" s="11">
        <f t="shared" ref="L18:L19" si="22">K18-H18</f>
        <v>212107.39</v>
      </c>
      <c r="M18" s="18">
        <f t="shared" ref="M18:M19" si="23">(K18-H18)/H18</f>
        <v>0.1928251121</v>
      </c>
      <c r="N18" s="10">
        <f t="shared" ref="N18:N19" si="24">TODAY()-E18</f>
        <v>841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8" t="s">
        <v>49</v>
      </c>
      <c r="C19" s="1"/>
      <c r="D19" s="1"/>
      <c r="E19" s="41">
        <v>45225.0</v>
      </c>
      <c r="F19" s="32">
        <v>298.35</v>
      </c>
      <c r="G19" s="46">
        <v>3016.0</v>
      </c>
      <c r="H19" s="10">
        <f t="shared" si="19"/>
        <v>899823.6</v>
      </c>
      <c r="I19" s="17">
        <f t="shared" si="20"/>
        <v>0.08998236</v>
      </c>
      <c r="J19" s="32">
        <v>375.94</v>
      </c>
      <c r="K19" s="11">
        <f t="shared" si="21"/>
        <v>1133835.04</v>
      </c>
      <c r="L19" s="11">
        <f t="shared" si="22"/>
        <v>234011.44</v>
      </c>
      <c r="M19" s="18">
        <f t="shared" si="23"/>
        <v>0.2600636836</v>
      </c>
      <c r="N19" s="10">
        <f t="shared" si="24"/>
        <v>842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9"/>
      <c r="C20" s="1"/>
      <c r="D20" s="1"/>
      <c r="E20" s="14"/>
      <c r="F20" s="1"/>
      <c r="G20" s="1"/>
      <c r="H20" s="4"/>
      <c r="J20" s="1"/>
      <c r="K20" s="1"/>
      <c r="L20" s="1"/>
      <c r="M20" s="5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"/>
      <c r="D21" s="1"/>
      <c r="E21" s="1"/>
      <c r="F21" s="1"/>
      <c r="G21" s="1"/>
      <c r="H21" s="1"/>
      <c r="I21" s="1"/>
      <c r="J21" s="1"/>
      <c r="K21" s="1"/>
      <c r="L21" s="5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4"/>
      <c r="C24" s="55"/>
      <c r="D24" s="55" t="s">
        <v>14</v>
      </c>
      <c r="E24" s="55" t="s">
        <v>18</v>
      </c>
      <c r="F24" s="55" t="s">
        <v>22</v>
      </c>
      <c r="G24" s="55" t="s">
        <v>26</v>
      </c>
      <c r="H24" s="34" t="s">
        <v>33</v>
      </c>
      <c r="I24" s="34" t="s">
        <v>34</v>
      </c>
      <c r="J24" s="56" t="s">
        <v>40</v>
      </c>
      <c r="K24" s="8" t="s">
        <v>42</v>
      </c>
      <c r="L24" s="8" t="s">
        <v>44</v>
      </c>
      <c r="M24" s="8" t="s">
        <v>48</v>
      </c>
      <c r="N24" s="8" t="s">
        <v>49</v>
      </c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1"/>
      <c r="C25" s="57" t="s">
        <v>50</v>
      </c>
      <c r="D25" s="58">
        <v>0.13999741999999998</v>
      </c>
      <c r="E25" s="58">
        <f>I7</f>
        <v>0.01999666</v>
      </c>
      <c r="F25" s="59">
        <f>I8</f>
        <v>0.1</v>
      </c>
      <c r="G25" s="59">
        <f>I9</f>
        <v>0.11995289</v>
      </c>
      <c r="H25" s="59">
        <v>0.09998532</v>
      </c>
      <c r="I25" s="59">
        <v>0.0999996641</v>
      </c>
      <c r="J25" s="59">
        <v>0.03</v>
      </c>
      <c r="K25" s="59">
        <v>0.0525</v>
      </c>
      <c r="L25" s="59">
        <v>0.06749726</v>
      </c>
      <c r="M25" s="59">
        <v>0.10999987900000001</v>
      </c>
      <c r="N25" s="59">
        <v>0.08998236000000001</v>
      </c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C26" s="57" t="s">
        <v>51</v>
      </c>
      <c r="D26" s="58">
        <f>M6</f>
        <v>1.050116009</v>
      </c>
      <c r="E26" s="58">
        <f>M7</f>
        <v>1.607071381</v>
      </c>
      <c r="F26" s="58">
        <f>M8</f>
        <v>0.2698486</v>
      </c>
      <c r="G26" s="58">
        <f>M9</f>
        <v>0.2407318823</v>
      </c>
      <c r="H26" s="59">
        <f>M11</f>
        <v>0.1240130051</v>
      </c>
      <c r="I26" s="59">
        <f>M12</f>
        <v>0.1179243967</v>
      </c>
      <c r="J26" s="59">
        <f>M14</f>
        <v>0.5203880303</v>
      </c>
      <c r="K26" s="58">
        <f>M15</f>
        <v>0.4184088269</v>
      </c>
      <c r="L26" s="58">
        <f>M16</f>
        <v>0.5554822522</v>
      </c>
      <c r="M26" s="58">
        <f>M18</f>
        <v>0.1928251121</v>
      </c>
      <c r="N26" s="59">
        <f>M19</f>
        <v>0.2600636836</v>
      </c>
      <c r="O26" s="1"/>
      <c r="P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C27" s="60"/>
      <c r="D27" s="60"/>
      <c r="E27" s="60"/>
      <c r="F27" s="60"/>
      <c r="G27" s="60"/>
      <c r="H27" s="36"/>
      <c r="I27" s="36"/>
      <c r="J27" s="36"/>
      <c r="K27" s="36"/>
      <c r="L27" s="61"/>
      <c r="M27" s="60"/>
      <c r="N27" s="6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C28" s="62" t="s">
        <v>52</v>
      </c>
      <c r="D28" s="63">
        <f>SUMPRODUCT(D25:N25,D26:N26)</f>
        <v>0.3788863344</v>
      </c>
      <c r="E28" s="64"/>
      <c r="F28" s="64"/>
      <c r="G28" s="64"/>
      <c r="H28" s="1"/>
      <c r="I28" s="1"/>
      <c r="J28" s="1"/>
      <c r="K28" s="1"/>
      <c r="L28" s="65"/>
      <c r="M28" s="64"/>
      <c r="N28" s="6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4"/>
      <c r="C29" s="64"/>
      <c r="D29" s="65"/>
      <c r="E29" s="64"/>
      <c r="F29" s="64"/>
      <c r="G29" s="64"/>
      <c r="H29" s="1"/>
      <c r="I29" s="1"/>
      <c r="J29" s="1"/>
      <c r="K29" s="1"/>
      <c r="L29" s="65"/>
      <c r="M29" s="6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6"/>
      <c r="C30" s="67" t="s">
        <v>53</v>
      </c>
      <c r="D30" s="68">
        <v>0.08352100331489566</v>
      </c>
      <c r="E30" s="68">
        <v>0.11617616025004303</v>
      </c>
      <c r="F30" s="68">
        <v>0.09927049491340824</v>
      </c>
      <c r="G30" s="68">
        <v>0.04505486448708625</v>
      </c>
      <c r="H30" s="68">
        <v>0.010596062353871354</v>
      </c>
      <c r="I30" s="68">
        <v>0.012719994498108827</v>
      </c>
      <c r="J30" s="68">
        <v>0.030133778112723927</v>
      </c>
      <c r="K30" s="68">
        <v>0.031842299702857374</v>
      </c>
      <c r="L30" s="68">
        <v>0.026302644716562303</v>
      </c>
      <c r="M30" s="68">
        <v>0.019583111012434866</v>
      </c>
      <c r="N30" s="68">
        <v>0.028260489151327804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4"/>
      <c r="C31" s="69" t="s">
        <v>54</v>
      </c>
      <c r="D31" s="70">
        <v>0.0272</v>
      </c>
      <c r="E31" s="70">
        <v>0.0447</v>
      </c>
      <c r="F31" s="71">
        <v>0.0451</v>
      </c>
      <c r="G31" s="70">
        <v>0.021</v>
      </c>
      <c r="H31" s="71">
        <v>0.0077</v>
      </c>
      <c r="I31" s="72">
        <v>0.0106</v>
      </c>
      <c r="J31" s="71">
        <v>0.0092</v>
      </c>
      <c r="K31" s="71">
        <v>0.0082</v>
      </c>
      <c r="L31" s="71">
        <v>0.0068</v>
      </c>
      <c r="M31" s="71">
        <v>0.0157</v>
      </c>
      <c r="N31" s="73">
        <v>0.0162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4"/>
      <c r="C32" s="69" t="s">
        <v>55</v>
      </c>
      <c r="D32" s="74">
        <f t="shared" ref="D32:N32" si="25">D31*D31</f>
        <v>0.00073984</v>
      </c>
      <c r="E32" s="74">
        <f t="shared" si="25"/>
        <v>0.00199809</v>
      </c>
      <c r="F32" s="74">
        <f t="shared" si="25"/>
        <v>0.00203401</v>
      </c>
      <c r="G32" s="74">
        <f t="shared" si="25"/>
        <v>0.000441</v>
      </c>
      <c r="H32" s="74">
        <f t="shared" si="25"/>
        <v>0.00005929</v>
      </c>
      <c r="I32" s="74">
        <f t="shared" si="25"/>
        <v>0.00011236</v>
      </c>
      <c r="J32" s="74">
        <f t="shared" si="25"/>
        <v>0.00008464</v>
      </c>
      <c r="K32" s="74">
        <f t="shared" si="25"/>
        <v>0.00006724</v>
      </c>
      <c r="L32" s="74">
        <f t="shared" si="25"/>
        <v>0.00004624</v>
      </c>
      <c r="M32" s="74">
        <f t="shared" si="25"/>
        <v>0.00024649</v>
      </c>
      <c r="N32" s="74">
        <f t="shared" si="25"/>
        <v>0.00026244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4"/>
      <c r="C33" s="69" t="s">
        <v>56</v>
      </c>
      <c r="D33" s="74">
        <f t="shared" ref="D33:N33" si="26">D32*12</f>
        <v>0.00887808</v>
      </c>
      <c r="E33" s="74">
        <f t="shared" si="26"/>
        <v>0.02397708</v>
      </c>
      <c r="F33" s="74">
        <f t="shared" si="26"/>
        <v>0.02440812</v>
      </c>
      <c r="G33" s="74">
        <f t="shared" si="26"/>
        <v>0.005292</v>
      </c>
      <c r="H33" s="74">
        <f t="shared" si="26"/>
        <v>0.00071148</v>
      </c>
      <c r="I33" s="74">
        <f t="shared" si="26"/>
        <v>0.00134832</v>
      </c>
      <c r="J33" s="74">
        <f t="shared" si="26"/>
        <v>0.00101568</v>
      </c>
      <c r="K33" s="74">
        <f t="shared" si="26"/>
        <v>0.00080688</v>
      </c>
      <c r="L33" s="74">
        <f t="shared" si="26"/>
        <v>0.00055488</v>
      </c>
      <c r="M33" s="74">
        <f t="shared" si="26"/>
        <v>0.00295788</v>
      </c>
      <c r="N33" s="74">
        <f t="shared" si="26"/>
        <v>0.00314928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4"/>
      <c r="C34" s="75" t="s">
        <v>57</v>
      </c>
      <c r="D34" s="74">
        <f t="shared" ref="D34:N34" si="27">SQRT(D33)</f>
        <v>0.09422356393</v>
      </c>
      <c r="E34" s="74">
        <f t="shared" si="27"/>
        <v>0.1548453422</v>
      </c>
      <c r="F34" s="74">
        <f t="shared" si="27"/>
        <v>0.1562309828</v>
      </c>
      <c r="G34" s="74">
        <f t="shared" si="27"/>
        <v>0.07274613392</v>
      </c>
      <c r="H34" s="74">
        <f t="shared" si="27"/>
        <v>0.02667358244</v>
      </c>
      <c r="I34" s="74">
        <f t="shared" si="27"/>
        <v>0.03671947712</v>
      </c>
      <c r="J34" s="74">
        <f t="shared" si="27"/>
        <v>0.03186973486</v>
      </c>
      <c r="K34" s="74">
        <f t="shared" si="27"/>
        <v>0.02840563324</v>
      </c>
      <c r="L34" s="74">
        <f t="shared" si="27"/>
        <v>0.02355589098</v>
      </c>
      <c r="M34" s="74">
        <f t="shared" si="27"/>
        <v>0.05438639536</v>
      </c>
      <c r="N34" s="74">
        <f t="shared" si="27"/>
        <v>0.05611844617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3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20.89"/>
    <col customWidth="1" min="4" max="4" width="15.11"/>
    <col customWidth="1" min="5" max="5" width="12.11"/>
    <col customWidth="1" min="6" max="6" width="13.0"/>
    <col customWidth="1" min="7" max="7" width="20.67"/>
    <col customWidth="1" min="8" max="8" width="16.0"/>
    <col customWidth="1" min="9" max="9" width="20.44"/>
    <col customWidth="1" min="10" max="10" width="25.44"/>
    <col customWidth="1" min="11" max="11" width="15.0"/>
    <col customWidth="1" min="12" max="12" width="17.56"/>
    <col customWidth="1" min="13" max="13" width="24.67"/>
    <col customWidth="1" min="14" max="14" width="20.11"/>
    <col customWidth="1" min="15" max="15" width="25.33"/>
    <col customWidth="1" min="16" max="16" width="17.78"/>
    <col customWidth="1" min="17" max="17" width="17.11"/>
    <col customWidth="1" min="18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>
        <f>H3*60%</f>
        <v>1200000</v>
      </c>
      <c r="H3" s="11">
        <v>2000000.0</v>
      </c>
      <c r="I3" s="1">
        <f>H3*7</f>
        <v>14000000</v>
      </c>
      <c r="J3" s="4"/>
      <c r="K3" s="1"/>
      <c r="L3" s="1"/>
      <c r="M3" s="1"/>
      <c r="N3" s="1"/>
      <c r="P3" s="4">
        <v>1.0E7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4">
        <f>H3*40%</f>
        <v>800000</v>
      </c>
      <c r="H4" s="1">
        <f>SUM(H18:H19)</f>
        <v>2000001.67</v>
      </c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0</v>
      </c>
      <c r="C5" s="6" t="s">
        <v>1</v>
      </c>
      <c r="D5" s="7" t="s">
        <v>2</v>
      </c>
      <c r="E5" s="6" t="s">
        <v>3</v>
      </c>
      <c r="F5" s="6" t="s">
        <v>4</v>
      </c>
      <c r="G5" s="8" t="s">
        <v>5</v>
      </c>
      <c r="H5" s="8" t="s">
        <v>6</v>
      </c>
      <c r="I5" s="9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P5" s="10" t="s">
        <v>13</v>
      </c>
      <c r="Q5" s="11">
        <f>P3*30%</f>
        <v>3000000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2" t="s">
        <v>14</v>
      </c>
      <c r="C6" s="10" t="s">
        <v>15</v>
      </c>
      <c r="D6" s="13" t="s">
        <v>16</v>
      </c>
      <c r="E6" s="14">
        <v>45225.0</v>
      </c>
      <c r="F6" s="10">
        <v>86.2</v>
      </c>
      <c r="G6" s="22">
        <v>162412.0</v>
      </c>
      <c r="H6" s="16">
        <f t="shared" ref="H6:H9" si="1">F6*G6</f>
        <v>13999914.4</v>
      </c>
      <c r="I6" s="77">
        <v>0.07</v>
      </c>
      <c r="J6" s="11">
        <f>IFERROR(__xludf.DUMMYFUNCTION("GOOGLEFINANCE(D6)"),176.72)</f>
        <v>176.72</v>
      </c>
      <c r="K6" s="11">
        <f t="shared" ref="K6:K9" si="2">J6*G6</f>
        <v>28701448.64</v>
      </c>
      <c r="L6" s="11">
        <f t="shared" ref="L6:L9" si="3">K6-H6</f>
        <v>14701534.24</v>
      </c>
      <c r="M6" s="18">
        <f t="shared" ref="M6:M9" si="4">(K6-H6)/H6</f>
        <v>1.050116009</v>
      </c>
      <c r="N6" s="15">
        <f t="shared" ref="N6:N9" si="5">TODAY()-E6</f>
        <v>842</v>
      </c>
      <c r="P6" s="10" t="s">
        <v>17</v>
      </c>
      <c r="Q6" s="11">
        <f>25%*P3</f>
        <v>2500000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9" t="s">
        <v>18</v>
      </c>
      <c r="C7" s="10" t="s">
        <v>19</v>
      </c>
      <c r="D7" s="13" t="s">
        <v>20</v>
      </c>
      <c r="E7" s="20">
        <v>45229.0</v>
      </c>
      <c r="F7" s="21">
        <v>74.95</v>
      </c>
      <c r="G7" s="22">
        <v>8005.0</v>
      </c>
      <c r="H7" s="16">
        <f t="shared" si="1"/>
        <v>599974.75</v>
      </c>
      <c r="I7" s="77">
        <v>0.05</v>
      </c>
      <c r="J7" s="11">
        <f>IFERROR(__xludf.DUMMYFUNCTION("GOOGLEFINANCE(D7)"),195.4)</f>
        <v>195.4</v>
      </c>
      <c r="K7" s="11">
        <f t="shared" si="2"/>
        <v>1564177</v>
      </c>
      <c r="L7" s="11">
        <f t="shared" si="3"/>
        <v>964202.25</v>
      </c>
      <c r="M7" s="18">
        <f t="shared" si="4"/>
        <v>1.607071381</v>
      </c>
      <c r="N7" s="15">
        <f t="shared" si="5"/>
        <v>838</v>
      </c>
      <c r="P7" s="10" t="s">
        <v>21</v>
      </c>
      <c r="Q7" s="11">
        <f>20%*P3</f>
        <v>2000000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22</v>
      </c>
      <c r="C8" s="23" t="s">
        <v>23</v>
      </c>
      <c r="D8" s="13" t="s">
        <v>24</v>
      </c>
      <c r="E8" s="24">
        <v>45225.0</v>
      </c>
      <c r="F8" s="21">
        <v>70.2</v>
      </c>
      <c r="G8" s="22">
        <v>8580.0</v>
      </c>
      <c r="H8" s="16">
        <f t="shared" si="1"/>
        <v>602316</v>
      </c>
      <c r="I8" s="77">
        <v>0.0502316</v>
      </c>
      <c r="J8" s="11">
        <f>IFERROR(__xludf.DUMMYFUNCTION("GOOGLEFINANCE(D8)"),111.4)</f>
        <v>111.4</v>
      </c>
      <c r="K8" s="11">
        <f t="shared" si="2"/>
        <v>955812</v>
      </c>
      <c r="L8" s="11">
        <f t="shared" si="3"/>
        <v>353496</v>
      </c>
      <c r="M8" s="18">
        <f t="shared" si="4"/>
        <v>0.5868945869</v>
      </c>
      <c r="N8" s="15">
        <f t="shared" si="5"/>
        <v>842</v>
      </c>
      <c r="P8" s="11" t="s">
        <v>25</v>
      </c>
      <c r="Q8" s="11">
        <f>P3*5%</f>
        <v>500000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26</v>
      </c>
      <c r="C9" s="10" t="s">
        <v>27</v>
      </c>
      <c r="D9" s="26" t="s">
        <v>28</v>
      </c>
      <c r="E9" s="24">
        <v>45240.0</v>
      </c>
      <c r="F9" s="21">
        <v>418.1</v>
      </c>
      <c r="G9" s="22">
        <v>2147.0</v>
      </c>
      <c r="H9" s="16">
        <f t="shared" si="1"/>
        <v>897660.7</v>
      </c>
      <c r="I9" s="17">
        <f>H9/10000000</f>
        <v>0.08976607</v>
      </c>
      <c r="J9" s="11">
        <f>IFERROR(__xludf.DUMMYFUNCTION("GOOGLEFINANCE(D9)"),518.75)</f>
        <v>518.75</v>
      </c>
      <c r="K9" s="11">
        <f t="shared" si="2"/>
        <v>1113756.25</v>
      </c>
      <c r="L9" s="11">
        <f t="shared" si="3"/>
        <v>216095.55</v>
      </c>
      <c r="M9" s="18">
        <f t="shared" si="4"/>
        <v>0.2407318823</v>
      </c>
      <c r="N9" s="15">
        <f t="shared" si="5"/>
        <v>827</v>
      </c>
      <c r="P9" s="10" t="s">
        <v>29</v>
      </c>
      <c r="Q9" s="11">
        <f>P3*20%</f>
        <v>2000000</v>
      </c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7" t="s">
        <v>30</v>
      </c>
      <c r="C10" s="1"/>
      <c r="D10" s="1"/>
      <c r="E10" s="6" t="s">
        <v>3</v>
      </c>
      <c r="F10" s="6" t="s">
        <v>4</v>
      </c>
      <c r="G10" s="8" t="s">
        <v>31</v>
      </c>
      <c r="H10" s="28" t="s">
        <v>6</v>
      </c>
      <c r="I10" s="17"/>
      <c r="J10" s="28" t="s">
        <v>32</v>
      </c>
      <c r="K10" s="11"/>
      <c r="L10" s="11"/>
      <c r="M10" s="18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9" t="s">
        <v>33</v>
      </c>
      <c r="C11" s="1"/>
      <c r="D11" s="1"/>
      <c r="E11" s="14">
        <v>45210.0</v>
      </c>
      <c r="F11" s="10">
        <v>1937.7</v>
      </c>
      <c r="G11" s="22">
        <v>710.0</v>
      </c>
      <c r="H11" s="11">
        <f t="shared" ref="H11:H12" si="6">G11*F11</f>
        <v>1375767</v>
      </c>
      <c r="I11" s="17">
        <f t="shared" ref="I11:I12" si="7">H11/10000000</f>
        <v>0.1375767</v>
      </c>
      <c r="J11" s="30">
        <v>2178.0</v>
      </c>
      <c r="K11" s="11">
        <f t="shared" ref="K11:K12" si="8">J11*G11</f>
        <v>1546380</v>
      </c>
      <c r="L11" s="11">
        <f t="shared" ref="L11:L12" si="9">K11-H11</f>
        <v>170613</v>
      </c>
      <c r="M11" s="18">
        <f t="shared" ref="M11:M12" si="10">(K11-H11)/H11</f>
        <v>0.1240130051</v>
      </c>
      <c r="N11" s="15">
        <f t="shared" ref="N11:N12" si="11">TODAY()-E11</f>
        <v>857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9" t="s">
        <v>34</v>
      </c>
      <c r="C12" s="1"/>
      <c r="D12" s="1"/>
      <c r="E12" s="14">
        <v>45256.0</v>
      </c>
      <c r="F12" s="10">
        <v>3.5845</v>
      </c>
      <c r="G12" s="22">
        <v>313650.0</v>
      </c>
      <c r="H12" s="11">
        <f t="shared" si="6"/>
        <v>1124278.425</v>
      </c>
      <c r="I12" s="17">
        <f t="shared" si="7"/>
        <v>0.1124278425</v>
      </c>
      <c r="J12" s="10">
        <v>4.0072</v>
      </c>
      <c r="K12" s="11">
        <f t="shared" si="8"/>
        <v>1256858.28</v>
      </c>
      <c r="L12" s="11">
        <f t="shared" si="9"/>
        <v>132579.855</v>
      </c>
      <c r="M12" s="18">
        <f t="shared" si="10"/>
        <v>0.1179243967</v>
      </c>
      <c r="N12" s="15">
        <f t="shared" si="11"/>
        <v>811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31" t="s">
        <v>35</v>
      </c>
      <c r="C13" s="32" t="s">
        <v>36</v>
      </c>
      <c r="D13" s="1"/>
      <c r="E13" s="33" t="s">
        <v>3</v>
      </c>
      <c r="F13" s="9" t="s">
        <v>37</v>
      </c>
      <c r="G13" s="34" t="s">
        <v>38</v>
      </c>
      <c r="H13" s="28" t="s">
        <v>6</v>
      </c>
      <c r="I13" s="17"/>
      <c r="J13" s="35" t="s">
        <v>39</v>
      </c>
      <c r="K13" s="11"/>
      <c r="L13" s="11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6" t="s">
        <v>40</v>
      </c>
      <c r="C14" s="37" t="s">
        <v>41</v>
      </c>
      <c r="D14" s="1"/>
      <c r="E14" s="14">
        <v>45225.0</v>
      </c>
      <c r="F14" s="38">
        <v>60.82</v>
      </c>
      <c r="G14" s="78">
        <v>6573.0</v>
      </c>
      <c r="H14" s="11">
        <f t="shared" ref="H14:H16" si="12">G14*F14</f>
        <v>399769.86</v>
      </c>
      <c r="I14" s="17">
        <f t="shared" ref="I14:I16" si="13">H14/10000000</f>
        <v>0.039976986</v>
      </c>
      <c r="J14" s="11">
        <f>IFERROR(__xludf.DUMMYFUNCTION("GOOGLEFINANCE(C14)"),92.47)</f>
        <v>92.47</v>
      </c>
      <c r="K14" s="11">
        <f t="shared" ref="K14:K16" si="14">J14*G14</f>
        <v>607805.31</v>
      </c>
      <c r="L14" s="11">
        <f t="shared" ref="L14:L16" si="15">K14-H14</f>
        <v>208035.45</v>
      </c>
      <c r="M14" s="18">
        <f t="shared" ref="M14:M16" si="16">(K14-H14)/H14</f>
        <v>0.5203880303</v>
      </c>
      <c r="N14" s="10">
        <f t="shared" ref="N14:N16" si="17">TODAY()-E14</f>
        <v>842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9" t="s">
        <v>42</v>
      </c>
      <c r="C15" s="40" t="s">
        <v>43</v>
      </c>
      <c r="D15" s="1"/>
      <c r="E15" s="41">
        <v>45225.0</v>
      </c>
      <c r="F15" s="38">
        <v>34.44</v>
      </c>
      <c r="G15" s="78">
        <v>17415.0</v>
      </c>
      <c r="H15" s="11">
        <f t="shared" si="12"/>
        <v>599772.6</v>
      </c>
      <c r="I15" s="17">
        <f t="shared" si="13"/>
        <v>0.05997726</v>
      </c>
      <c r="J15" s="11">
        <f>IFERROR(__xludf.DUMMYFUNCTION("GOOGLEFINANCE(C15)"),48.85)</f>
        <v>48.85</v>
      </c>
      <c r="K15" s="11">
        <f t="shared" si="14"/>
        <v>850722.75</v>
      </c>
      <c r="L15" s="11">
        <f t="shared" si="15"/>
        <v>250950.15</v>
      </c>
      <c r="M15" s="18">
        <f t="shared" si="16"/>
        <v>0.4184088269</v>
      </c>
      <c r="N15" s="10">
        <f t="shared" si="17"/>
        <v>842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2" t="s">
        <v>44</v>
      </c>
      <c r="C16" s="37" t="s">
        <v>45</v>
      </c>
      <c r="D16" s="1"/>
      <c r="E16" s="41">
        <v>45225.0</v>
      </c>
      <c r="F16" s="38">
        <v>924.62</v>
      </c>
      <c r="G16" s="32">
        <v>1082.0</v>
      </c>
      <c r="H16" s="11">
        <f t="shared" si="12"/>
        <v>1000438.84</v>
      </c>
      <c r="I16" s="17">
        <f t="shared" si="13"/>
        <v>0.100043884</v>
      </c>
      <c r="J16" s="11">
        <f>IFERROR(__xludf.DUMMYFUNCTION("GOOGLEFINANCE(C16)"),1438.23)</f>
        <v>1438.23</v>
      </c>
      <c r="K16" s="11">
        <f t="shared" si="14"/>
        <v>1556164.86</v>
      </c>
      <c r="L16" s="11">
        <f t="shared" si="15"/>
        <v>555726.02</v>
      </c>
      <c r="M16" s="18">
        <f t="shared" si="16"/>
        <v>0.5554822522</v>
      </c>
      <c r="N16" s="10">
        <f t="shared" si="17"/>
        <v>842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3" t="s">
        <v>46</v>
      </c>
      <c r="C17" s="1"/>
      <c r="D17" s="1"/>
      <c r="E17" s="14"/>
      <c r="F17" s="10"/>
      <c r="G17" s="10"/>
      <c r="H17" s="11"/>
      <c r="I17" s="17"/>
      <c r="J17" s="32" t="s">
        <v>47</v>
      </c>
      <c r="K17" s="11"/>
      <c r="L17" s="11"/>
      <c r="M17" s="18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 t="s">
        <v>48</v>
      </c>
      <c r="C18" s="1"/>
      <c r="D18" s="1"/>
      <c r="E18" s="45">
        <v>45226.0</v>
      </c>
      <c r="F18" s="32">
        <v>2.23</v>
      </c>
      <c r="G18" s="46">
        <v>538039.0</v>
      </c>
      <c r="H18" s="10">
        <f t="shared" ref="H18:H19" si="18">G18*F18</f>
        <v>1199826.97</v>
      </c>
      <c r="I18" s="77">
        <v>0.18</v>
      </c>
      <c r="J18" s="47">
        <v>2.66</v>
      </c>
      <c r="K18" s="11">
        <f t="shared" ref="K18:K19" si="19">J18*G18</f>
        <v>1431183.74</v>
      </c>
      <c r="L18" s="11">
        <f t="shared" ref="L18:L19" si="20">K18-H18</f>
        <v>231356.77</v>
      </c>
      <c r="M18" s="18">
        <f t="shared" ref="M18:M19" si="21">(K18-H18)/H18</f>
        <v>0.1928251121</v>
      </c>
      <c r="N18" s="10">
        <f t="shared" ref="N18:N19" si="22">TODAY()-E18</f>
        <v>841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8" t="s">
        <v>49</v>
      </c>
      <c r="C19" s="1"/>
      <c r="D19" s="1"/>
      <c r="E19" s="41">
        <v>45225.0</v>
      </c>
      <c r="F19" s="32">
        <v>298.35</v>
      </c>
      <c r="G19" s="46">
        <v>2682.0</v>
      </c>
      <c r="H19" s="10">
        <f t="shared" si="18"/>
        <v>800174.7</v>
      </c>
      <c r="I19" s="17">
        <f>H19/10000000</f>
        <v>0.08001747</v>
      </c>
      <c r="J19" s="32">
        <v>375.94</v>
      </c>
      <c r="K19" s="11">
        <f t="shared" si="19"/>
        <v>1008271.08</v>
      </c>
      <c r="L19" s="11">
        <f t="shared" si="20"/>
        <v>208096.38</v>
      </c>
      <c r="M19" s="18">
        <f t="shared" si="21"/>
        <v>0.2600636836</v>
      </c>
      <c r="N19" s="10">
        <f t="shared" si="22"/>
        <v>842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9"/>
      <c r="C20" s="1"/>
      <c r="D20" s="1"/>
      <c r="E20" s="14"/>
      <c r="F20" s="1"/>
      <c r="G20" s="1"/>
      <c r="H20" s="4"/>
      <c r="J20" s="1"/>
      <c r="K20" s="1"/>
      <c r="L20" s="1"/>
      <c r="M20" s="5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"/>
      <c r="D21" s="1"/>
      <c r="E21" s="1"/>
      <c r="F21" s="1"/>
      <c r="G21" s="1"/>
      <c r="H21" s="1"/>
      <c r="I21" s="1"/>
      <c r="J21" s="1"/>
      <c r="K21" s="1"/>
      <c r="L21" s="5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4"/>
      <c r="B24" s="66"/>
      <c r="C24" s="55"/>
      <c r="D24" s="55" t="s">
        <v>14</v>
      </c>
      <c r="E24" s="55" t="s">
        <v>18</v>
      </c>
      <c r="F24" s="55" t="s">
        <v>22</v>
      </c>
      <c r="G24" s="55" t="s">
        <v>26</v>
      </c>
      <c r="H24" s="34" t="s">
        <v>33</v>
      </c>
      <c r="I24" s="34" t="s">
        <v>34</v>
      </c>
      <c r="J24" s="56" t="s">
        <v>40</v>
      </c>
      <c r="K24" s="8" t="s">
        <v>42</v>
      </c>
      <c r="L24" s="8" t="s">
        <v>44</v>
      </c>
      <c r="M24" s="8" t="s">
        <v>48</v>
      </c>
      <c r="N24" s="8" t="s">
        <v>49</v>
      </c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1"/>
      <c r="B25" s="64"/>
      <c r="C25" s="57" t="s">
        <v>50</v>
      </c>
      <c r="D25" s="77">
        <v>0.07</v>
      </c>
      <c r="E25" s="77">
        <v>0.05</v>
      </c>
      <c r="F25" s="77">
        <v>0.0502316</v>
      </c>
      <c r="G25" s="17">
        <v>0.08976607</v>
      </c>
      <c r="H25" s="17">
        <v>0.1375767</v>
      </c>
      <c r="I25" s="17">
        <v>0.1124278425</v>
      </c>
      <c r="J25" s="17">
        <v>0.039976986</v>
      </c>
      <c r="K25" s="17">
        <v>0.05997726</v>
      </c>
      <c r="L25" s="17">
        <v>0.100043884</v>
      </c>
      <c r="M25" s="77">
        <v>0.18</v>
      </c>
      <c r="N25" s="17">
        <v>0.08001747000000001</v>
      </c>
      <c r="O25" s="17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4"/>
      <c r="C26" s="57" t="s">
        <v>51</v>
      </c>
      <c r="D26" s="58">
        <v>0.006960083609574639</v>
      </c>
      <c r="E26" s="58">
        <v>0.009681346687503586</v>
      </c>
      <c r="F26" s="58">
        <v>0.00827254124278402</v>
      </c>
      <c r="G26" s="58">
        <v>0.0037545720405905213</v>
      </c>
      <c r="H26" s="59">
        <v>8.830051961559462E-4</v>
      </c>
      <c r="I26" s="59">
        <v>0.001059999541509069</v>
      </c>
      <c r="J26" s="59">
        <v>0.0025111481760603273</v>
      </c>
      <c r="K26" s="58">
        <v>0.0026535249752381146</v>
      </c>
      <c r="L26" s="58">
        <v>0.0021918870597135254</v>
      </c>
      <c r="M26" s="58">
        <v>0.0016319259177029056</v>
      </c>
      <c r="N26" s="59">
        <v>0.0023550407626106505</v>
      </c>
      <c r="O26" s="1"/>
      <c r="P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4"/>
      <c r="C27" s="60"/>
      <c r="D27" s="60"/>
      <c r="E27" s="60"/>
      <c r="F27" s="60"/>
      <c r="G27" s="60"/>
      <c r="H27" s="36"/>
      <c r="I27" s="36"/>
      <c r="J27" s="36"/>
      <c r="K27" s="36"/>
      <c r="L27" s="61"/>
      <c r="M27" s="60"/>
      <c r="N27" s="6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4"/>
      <c r="C28" s="62" t="s">
        <v>52</v>
      </c>
      <c r="D28" s="63">
        <f>SUMPRODUCT(D25:N25,D26:N26*100)</f>
        <v>0.2925519005</v>
      </c>
      <c r="E28" s="64"/>
      <c r="F28" s="64"/>
      <c r="G28" s="64"/>
      <c r="H28" s="1"/>
      <c r="I28" s="1"/>
      <c r="J28" s="1"/>
      <c r="K28" s="1"/>
      <c r="L28" s="65"/>
      <c r="M28" s="64"/>
      <c r="N28" s="6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4"/>
      <c r="C29" s="64"/>
      <c r="D29" s="65"/>
      <c r="E29" s="64"/>
      <c r="F29" s="64"/>
      <c r="G29" s="64"/>
      <c r="H29" s="1"/>
      <c r="I29" s="1"/>
      <c r="J29" s="1"/>
      <c r="K29" s="1"/>
      <c r="L29" s="65"/>
      <c r="M29" s="6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9"/>
      <c r="C30" s="67" t="s">
        <v>53</v>
      </c>
      <c r="D30" s="68">
        <f t="shared" ref="D30:N30" si="23">D26*12</f>
        <v>0.08352100331</v>
      </c>
      <c r="E30" s="68">
        <f t="shared" si="23"/>
        <v>0.1161761603</v>
      </c>
      <c r="F30" s="68">
        <f t="shared" si="23"/>
        <v>0.09927049491</v>
      </c>
      <c r="G30" s="68">
        <f t="shared" si="23"/>
        <v>0.04505486449</v>
      </c>
      <c r="H30" s="68">
        <f t="shared" si="23"/>
        <v>0.01059606235</v>
      </c>
      <c r="I30" s="68">
        <f t="shared" si="23"/>
        <v>0.0127199945</v>
      </c>
      <c r="J30" s="68">
        <f t="shared" si="23"/>
        <v>0.03013377811</v>
      </c>
      <c r="K30" s="68">
        <f t="shared" si="23"/>
        <v>0.0318422997</v>
      </c>
      <c r="L30" s="68">
        <f t="shared" si="23"/>
        <v>0.02630264472</v>
      </c>
      <c r="M30" s="68">
        <f t="shared" si="23"/>
        <v>0.01958311101</v>
      </c>
      <c r="N30" s="68">
        <f t="shared" si="23"/>
        <v>0.02826048915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9" t="s">
        <v>54</v>
      </c>
      <c r="D31" s="70">
        <v>0.0272</v>
      </c>
      <c r="E31" s="70">
        <v>0.0447</v>
      </c>
      <c r="F31" s="71">
        <v>0.0451</v>
      </c>
      <c r="G31" s="70">
        <v>0.021</v>
      </c>
      <c r="H31" s="71">
        <v>0.0077</v>
      </c>
      <c r="I31" s="72">
        <v>0.0106</v>
      </c>
      <c r="J31" s="71">
        <v>0.0092</v>
      </c>
      <c r="K31" s="71">
        <v>0.0082</v>
      </c>
      <c r="L31" s="71">
        <v>0.0068</v>
      </c>
      <c r="M31" s="71">
        <v>0.0157</v>
      </c>
      <c r="N31" s="73">
        <v>0.0162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9" t="s">
        <v>55</v>
      </c>
      <c r="D32" s="74">
        <f t="shared" ref="D32:N32" si="24">D31*D31</f>
        <v>0.00073984</v>
      </c>
      <c r="E32" s="74">
        <f t="shared" si="24"/>
        <v>0.00199809</v>
      </c>
      <c r="F32" s="74">
        <f t="shared" si="24"/>
        <v>0.00203401</v>
      </c>
      <c r="G32" s="74">
        <f t="shared" si="24"/>
        <v>0.000441</v>
      </c>
      <c r="H32" s="74">
        <f t="shared" si="24"/>
        <v>0.00005929</v>
      </c>
      <c r="I32" s="74">
        <f t="shared" si="24"/>
        <v>0.00011236</v>
      </c>
      <c r="J32" s="74">
        <f t="shared" si="24"/>
        <v>0.00008464</v>
      </c>
      <c r="K32" s="74">
        <f t="shared" si="24"/>
        <v>0.00006724</v>
      </c>
      <c r="L32" s="74">
        <f t="shared" si="24"/>
        <v>0.00004624</v>
      </c>
      <c r="M32" s="74">
        <f t="shared" si="24"/>
        <v>0.00024649</v>
      </c>
      <c r="N32" s="74">
        <f t="shared" si="24"/>
        <v>0.00026244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9" t="s">
        <v>56</v>
      </c>
      <c r="D33" s="74">
        <f t="shared" ref="D33:N33" si="25">D32*12</f>
        <v>0.00887808</v>
      </c>
      <c r="E33" s="74">
        <f t="shared" si="25"/>
        <v>0.02397708</v>
      </c>
      <c r="F33" s="74">
        <f t="shared" si="25"/>
        <v>0.02440812</v>
      </c>
      <c r="G33" s="74">
        <f t="shared" si="25"/>
        <v>0.005292</v>
      </c>
      <c r="H33" s="74">
        <f t="shared" si="25"/>
        <v>0.00071148</v>
      </c>
      <c r="I33" s="74">
        <f t="shared" si="25"/>
        <v>0.00134832</v>
      </c>
      <c r="J33" s="74">
        <f t="shared" si="25"/>
        <v>0.00101568</v>
      </c>
      <c r="K33" s="74">
        <f t="shared" si="25"/>
        <v>0.00080688</v>
      </c>
      <c r="L33" s="74">
        <f t="shared" si="25"/>
        <v>0.00055488</v>
      </c>
      <c r="M33" s="74">
        <f t="shared" si="25"/>
        <v>0.00295788</v>
      </c>
      <c r="N33" s="74">
        <f t="shared" si="25"/>
        <v>0.00314928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75" t="s">
        <v>57</v>
      </c>
      <c r="D34" s="74">
        <f t="shared" ref="D34:N34" si="26">SQRT(D33)</f>
        <v>0.09422356393</v>
      </c>
      <c r="E34" s="74">
        <f t="shared" si="26"/>
        <v>0.1548453422</v>
      </c>
      <c r="F34" s="74">
        <f t="shared" si="26"/>
        <v>0.1562309828</v>
      </c>
      <c r="G34" s="74">
        <f t="shared" si="26"/>
        <v>0.07274613392</v>
      </c>
      <c r="H34" s="74">
        <f t="shared" si="26"/>
        <v>0.02667358244</v>
      </c>
      <c r="I34" s="74">
        <f t="shared" si="26"/>
        <v>0.03671947712</v>
      </c>
      <c r="J34" s="74">
        <f t="shared" si="26"/>
        <v>0.03186973486</v>
      </c>
      <c r="K34" s="74">
        <f t="shared" si="26"/>
        <v>0.02840563324</v>
      </c>
      <c r="L34" s="74">
        <f t="shared" si="26"/>
        <v>0.02355589098</v>
      </c>
      <c r="M34" s="74">
        <f t="shared" si="26"/>
        <v>0.05438639536</v>
      </c>
      <c r="N34" s="74">
        <f t="shared" si="26"/>
        <v>0.05611844617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8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8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8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8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8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8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8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8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8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8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8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8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8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20.89"/>
    <col customWidth="1" min="4" max="4" width="15.11"/>
    <col customWidth="1" min="5" max="5" width="12.11"/>
    <col customWidth="1" min="6" max="6" width="13.0"/>
    <col customWidth="1" min="7" max="7" width="20.67"/>
    <col customWidth="1" min="8" max="8" width="16.0"/>
    <col customWidth="1" min="9" max="9" width="20.44"/>
    <col customWidth="1" min="10" max="10" width="25.44"/>
    <col customWidth="1" min="11" max="11" width="15.0"/>
    <col customWidth="1" min="12" max="12" width="17.56"/>
    <col customWidth="1" min="13" max="13" width="24.67"/>
    <col customWidth="1" min="14" max="14" width="20.11"/>
    <col customWidth="1" min="15" max="15" width="25.33"/>
    <col customWidth="1" min="16" max="16" width="17.78"/>
    <col customWidth="1" min="17" max="17" width="17.11"/>
    <col customWidth="1" min="18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P3" s="4">
        <v>1.0E7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0</v>
      </c>
      <c r="C5" s="6" t="s">
        <v>1</v>
      </c>
      <c r="D5" s="7" t="s">
        <v>2</v>
      </c>
      <c r="E5" s="6" t="s">
        <v>3</v>
      </c>
      <c r="F5" s="6" t="s">
        <v>4</v>
      </c>
      <c r="G5" s="8" t="s">
        <v>5</v>
      </c>
      <c r="H5" s="8" t="s">
        <v>6</v>
      </c>
      <c r="I5" s="9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P5" s="10" t="s">
        <v>13</v>
      </c>
      <c r="Q5" s="11">
        <f>P3*25%</f>
        <v>2500000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2" t="s">
        <v>14</v>
      </c>
      <c r="C6" s="10" t="s">
        <v>15</v>
      </c>
      <c r="D6" s="13" t="s">
        <v>16</v>
      </c>
      <c r="E6" s="14">
        <v>45225.0</v>
      </c>
      <c r="F6" s="10">
        <v>86.2</v>
      </c>
      <c r="G6" s="22">
        <v>11600.0</v>
      </c>
      <c r="H6" s="16">
        <f t="shared" ref="H6:H9" si="1">F6*G6</f>
        <v>999920</v>
      </c>
      <c r="I6" s="17">
        <f t="shared" ref="I6:I8" si="2">H6/10000000</f>
        <v>0.099992</v>
      </c>
      <c r="J6" s="11">
        <f>IFERROR(__xludf.DUMMYFUNCTION("GOOGLEFINANCE(D6)"),176.72)</f>
        <v>176.72</v>
      </c>
      <c r="K6" s="11">
        <f t="shared" ref="K6:K9" si="3">J6*G6</f>
        <v>2049952</v>
      </c>
      <c r="L6" s="11">
        <f t="shared" ref="L6:L9" si="4">K6-H6</f>
        <v>1050032</v>
      </c>
      <c r="M6" s="18">
        <f t="shared" ref="M6:M9" si="5">(K6-H6)/H6</f>
        <v>1.050116009</v>
      </c>
      <c r="N6" s="15">
        <f t="shared" ref="N6:N9" si="6">TODAY()-E6</f>
        <v>842</v>
      </c>
      <c r="P6" s="10" t="s">
        <v>17</v>
      </c>
      <c r="Q6" s="11">
        <f>20%*P3</f>
        <v>2000000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9" t="s">
        <v>18</v>
      </c>
      <c r="C7" s="10" t="s">
        <v>19</v>
      </c>
      <c r="D7" s="13" t="s">
        <v>20</v>
      </c>
      <c r="E7" s="20">
        <v>45229.0</v>
      </c>
      <c r="F7" s="21">
        <v>74.95</v>
      </c>
      <c r="G7" s="22">
        <v>6671.0</v>
      </c>
      <c r="H7" s="16">
        <f t="shared" si="1"/>
        <v>499991.45</v>
      </c>
      <c r="I7" s="17">
        <f t="shared" si="2"/>
        <v>0.049999145</v>
      </c>
      <c r="J7" s="11">
        <f>IFERROR(__xludf.DUMMYFUNCTION("GOOGLEFINANCE(D7)"),195.4)</f>
        <v>195.4</v>
      </c>
      <c r="K7" s="11">
        <f t="shared" si="3"/>
        <v>1303513.4</v>
      </c>
      <c r="L7" s="11">
        <f t="shared" si="4"/>
        <v>803521.95</v>
      </c>
      <c r="M7" s="18">
        <f t="shared" si="5"/>
        <v>1.607071381</v>
      </c>
      <c r="N7" s="15">
        <f t="shared" si="6"/>
        <v>838</v>
      </c>
      <c r="P7" s="10" t="s">
        <v>21</v>
      </c>
      <c r="Q7" s="11">
        <f>30%*P3</f>
        <v>3000000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22</v>
      </c>
      <c r="C8" s="23" t="s">
        <v>23</v>
      </c>
      <c r="D8" s="13" t="s">
        <v>24</v>
      </c>
      <c r="E8" s="24">
        <v>45225.0</v>
      </c>
      <c r="F8" s="21">
        <v>70.2</v>
      </c>
      <c r="G8" s="22">
        <v>3561.0</v>
      </c>
      <c r="H8" s="16">
        <f t="shared" si="1"/>
        <v>249982.2</v>
      </c>
      <c r="I8" s="17">
        <f t="shared" si="2"/>
        <v>0.02499822</v>
      </c>
      <c r="J8" s="11">
        <f>IFERROR(__xludf.DUMMYFUNCTION("GOOGLEFINANCE(D8)"),111.4)</f>
        <v>111.4</v>
      </c>
      <c r="K8" s="11">
        <f t="shared" si="3"/>
        <v>396695.4</v>
      </c>
      <c r="L8" s="11">
        <f t="shared" si="4"/>
        <v>146713.2</v>
      </c>
      <c r="M8" s="18">
        <f t="shared" si="5"/>
        <v>0.5868945869</v>
      </c>
      <c r="N8" s="15">
        <f t="shared" si="6"/>
        <v>842</v>
      </c>
      <c r="P8" s="11" t="s">
        <v>25</v>
      </c>
      <c r="Q8" s="11">
        <f>P3*5%</f>
        <v>500000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26</v>
      </c>
      <c r="C9" s="10" t="s">
        <v>27</v>
      </c>
      <c r="D9" s="26" t="s">
        <v>28</v>
      </c>
      <c r="E9" s="24">
        <v>45240.0</v>
      </c>
      <c r="F9" s="21">
        <v>418.1</v>
      </c>
      <c r="G9" s="22">
        <v>1794.0</v>
      </c>
      <c r="H9" s="16">
        <f t="shared" si="1"/>
        <v>750071.4</v>
      </c>
      <c r="I9" s="77">
        <v>0.06</v>
      </c>
      <c r="J9" s="11">
        <f>IFERROR(__xludf.DUMMYFUNCTION("GOOGLEFINANCE(D9)"),518.75)</f>
        <v>518.75</v>
      </c>
      <c r="K9" s="11">
        <f t="shared" si="3"/>
        <v>930637.5</v>
      </c>
      <c r="L9" s="11">
        <f t="shared" si="4"/>
        <v>180566.1</v>
      </c>
      <c r="M9" s="18">
        <f t="shared" si="5"/>
        <v>0.2407318823</v>
      </c>
      <c r="N9" s="15">
        <f t="shared" si="6"/>
        <v>827</v>
      </c>
      <c r="P9" s="10" t="s">
        <v>29</v>
      </c>
      <c r="Q9" s="11">
        <f>P3*20%</f>
        <v>2000000</v>
      </c>
      <c r="R9" s="1"/>
      <c r="S9" s="1"/>
      <c r="T9" s="2"/>
      <c r="U9" s="1"/>
      <c r="V9" s="1"/>
      <c r="W9" s="1"/>
      <c r="X9" s="1"/>
      <c r="Y9" s="1"/>
      <c r="Z9" s="1"/>
    </row>
    <row r="10" ht="15.75" customHeight="1">
      <c r="A10" s="1"/>
      <c r="B10" s="27" t="s">
        <v>30</v>
      </c>
      <c r="C10" s="1"/>
      <c r="D10" s="1"/>
      <c r="E10" s="6" t="s">
        <v>3</v>
      </c>
      <c r="F10" s="6" t="s">
        <v>4</v>
      </c>
      <c r="G10" s="8" t="s">
        <v>31</v>
      </c>
      <c r="H10" s="28" t="s">
        <v>6</v>
      </c>
      <c r="I10" s="17"/>
      <c r="J10" s="28" t="s">
        <v>32</v>
      </c>
      <c r="K10" s="11"/>
      <c r="L10" s="11"/>
      <c r="M10" s="18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9" t="s">
        <v>33</v>
      </c>
      <c r="C11" s="1"/>
      <c r="D11" s="1"/>
      <c r="E11" s="14">
        <v>45210.0</v>
      </c>
      <c r="F11" s="10">
        <v>1937.7</v>
      </c>
      <c r="G11" s="22">
        <v>620.0</v>
      </c>
      <c r="H11" s="11">
        <f t="shared" ref="H11:H12" si="7">G11*F11</f>
        <v>1201374</v>
      </c>
      <c r="I11" s="17">
        <f t="shared" ref="I11:I12" si="8">H11/10000000</f>
        <v>0.1201374</v>
      </c>
      <c r="J11" s="30">
        <v>2178.0</v>
      </c>
      <c r="K11" s="11">
        <f t="shared" ref="K11:K12" si="9">J11*G11</f>
        <v>1350360</v>
      </c>
      <c r="L11" s="11">
        <f t="shared" ref="L11:L12" si="10">K11-H11</f>
        <v>148986</v>
      </c>
      <c r="M11" s="18">
        <f t="shared" ref="M11:M12" si="11">(K11-H11)/H11</f>
        <v>0.1240130051</v>
      </c>
      <c r="N11" s="15">
        <f t="shared" ref="N11:N12" si="12">TODAY()-E11</f>
        <v>857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9" t="s">
        <v>34</v>
      </c>
      <c r="C12" s="1"/>
      <c r="D12" s="1"/>
      <c r="E12" s="14">
        <v>45256.0</v>
      </c>
      <c r="F12" s="10">
        <v>3.5845</v>
      </c>
      <c r="G12" s="22">
        <v>222800.0</v>
      </c>
      <c r="H12" s="11">
        <f t="shared" si="7"/>
        <v>798626.6</v>
      </c>
      <c r="I12" s="17">
        <f t="shared" si="8"/>
        <v>0.07986266</v>
      </c>
      <c r="J12" s="10">
        <v>4.0072</v>
      </c>
      <c r="K12" s="11">
        <f t="shared" si="9"/>
        <v>892804.16</v>
      </c>
      <c r="L12" s="11">
        <f t="shared" si="10"/>
        <v>94177.56</v>
      </c>
      <c r="M12" s="18">
        <f t="shared" si="11"/>
        <v>0.1179243967</v>
      </c>
      <c r="N12" s="15">
        <f t="shared" si="12"/>
        <v>811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31" t="s">
        <v>35</v>
      </c>
      <c r="C13" s="32" t="s">
        <v>36</v>
      </c>
      <c r="D13" s="1"/>
      <c r="E13" s="33" t="s">
        <v>3</v>
      </c>
      <c r="F13" s="9" t="s">
        <v>37</v>
      </c>
      <c r="G13" s="34" t="s">
        <v>38</v>
      </c>
      <c r="H13" s="28" t="s">
        <v>6</v>
      </c>
      <c r="I13" s="17"/>
      <c r="J13" s="35" t="s">
        <v>39</v>
      </c>
      <c r="K13" s="11"/>
      <c r="L13" s="11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6" t="s">
        <v>40</v>
      </c>
      <c r="C14" s="37" t="s">
        <v>41</v>
      </c>
      <c r="D14" s="1"/>
      <c r="E14" s="14">
        <v>45225.0</v>
      </c>
      <c r="F14" s="38">
        <v>60.82</v>
      </c>
      <c r="G14" s="39">
        <v>3288.3919763235776</v>
      </c>
      <c r="H14" s="11">
        <f t="shared" ref="H14:H16" si="13">G14*F14</f>
        <v>200000</v>
      </c>
      <c r="I14" s="17">
        <f t="shared" ref="I14:I15" si="14">H14/10000000</f>
        <v>0.02</v>
      </c>
      <c r="J14" s="11">
        <f>IFERROR(__xludf.DUMMYFUNCTION("GOOGLEFINANCE(C14)"),92.47)</f>
        <v>92.47</v>
      </c>
      <c r="K14" s="11">
        <f t="shared" ref="K14:K16" si="15">J14*G14</f>
        <v>304077.6061</v>
      </c>
      <c r="L14" s="11">
        <f t="shared" ref="L14:L16" si="16">K14-H14</f>
        <v>104077.6061</v>
      </c>
      <c r="M14" s="18">
        <f t="shared" ref="M14:M16" si="17">(K14-H14)/H14</f>
        <v>0.5203880303</v>
      </c>
      <c r="N14" s="10">
        <f t="shared" ref="N14:N16" si="18">TODAY()-E14</f>
        <v>842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9" t="s">
        <v>42</v>
      </c>
      <c r="C15" s="40" t="s">
        <v>43</v>
      </c>
      <c r="D15" s="1"/>
      <c r="E15" s="41">
        <v>45225.0</v>
      </c>
      <c r="F15" s="38">
        <v>34.44</v>
      </c>
      <c r="G15" s="39">
        <v>11614.401858304298</v>
      </c>
      <c r="H15" s="11">
        <f t="shared" si="13"/>
        <v>400000</v>
      </c>
      <c r="I15" s="17">
        <f t="shared" si="14"/>
        <v>0.04</v>
      </c>
      <c r="J15" s="11">
        <f>IFERROR(__xludf.DUMMYFUNCTION("GOOGLEFINANCE(C15)"),48.85)</f>
        <v>48.85</v>
      </c>
      <c r="K15" s="11">
        <f t="shared" si="15"/>
        <v>567363.5308</v>
      </c>
      <c r="L15" s="11">
        <f t="shared" si="16"/>
        <v>167363.5308</v>
      </c>
      <c r="M15" s="18">
        <f t="shared" si="17"/>
        <v>0.4184088269</v>
      </c>
      <c r="N15" s="10">
        <f t="shared" si="18"/>
        <v>842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2" t="s">
        <v>44</v>
      </c>
      <c r="C16" s="37" t="s">
        <v>45</v>
      </c>
      <c r="D16" s="1"/>
      <c r="E16" s="41">
        <v>45225.0</v>
      </c>
      <c r="F16" s="38">
        <v>924.62</v>
      </c>
      <c r="G16" s="32">
        <v>1514.0</v>
      </c>
      <c r="H16" s="11">
        <f t="shared" si="13"/>
        <v>1399874.68</v>
      </c>
      <c r="I16" s="81">
        <v>0.13</v>
      </c>
      <c r="J16" s="11">
        <f>IFERROR(__xludf.DUMMYFUNCTION("GOOGLEFINANCE(C16)"),1438.23)</f>
        <v>1438.23</v>
      </c>
      <c r="K16" s="11">
        <f t="shared" si="15"/>
        <v>2177480.22</v>
      </c>
      <c r="L16" s="11">
        <f t="shared" si="16"/>
        <v>777605.54</v>
      </c>
      <c r="M16" s="18">
        <f t="shared" si="17"/>
        <v>0.5554822522</v>
      </c>
      <c r="N16" s="10">
        <f t="shared" si="18"/>
        <v>842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3" t="s">
        <v>46</v>
      </c>
      <c r="C17" s="1"/>
      <c r="D17" s="1"/>
      <c r="E17" s="14"/>
      <c r="F17" s="10"/>
      <c r="G17" s="10"/>
      <c r="H17" s="11"/>
      <c r="I17" s="17"/>
      <c r="J17" s="32" t="s">
        <v>47</v>
      </c>
      <c r="K17" s="11"/>
      <c r="L17" s="11"/>
      <c r="M17" s="18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 t="s">
        <v>48</v>
      </c>
      <c r="C18" s="1"/>
      <c r="D18" s="1"/>
      <c r="E18" s="45">
        <v>45226.0</v>
      </c>
      <c r="F18" s="32">
        <v>2.23</v>
      </c>
      <c r="G18" s="46">
        <v>807175.0</v>
      </c>
      <c r="H18" s="10">
        <f t="shared" ref="H18:H19" si="19">G18*F18</f>
        <v>1800000.25</v>
      </c>
      <c r="I18" s="77">
        <v>0.150000025</v>
      </c>
      <c r="J18" s="47">
        <v>2.66</v>
      </c>
      <c r="K18" s="11">
        <f t="shared" ref="K18:K19" si="20">J18*G18</f>
        <v>2147085.5</v>
      </c>
      <c r="L18" s="11">
        <f t="shared" ref="L18:L19" si="21">K18-H18</f>
        <v>347085.25</v>
      </c>
      <c r="M18" s="18">
        <f t="shared" ref="M18:M19" si="22">(K18-H18)/H18</f>
        <v>0.1928251121</v>
      </c>
      <c r="N18" s="10">
        <f t="shared" ref="N18:N19" si="23">TODAY()-E18</f>
        <v>841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8" t="s">
        <v>49</v>
      </c>
      <c r="C19" s="1"/>
      <c r="D19" s="1"/>
      <c r="E19" s="41">
        <v>45225.0</v>
      </c>
      <c r="F19" s="32">
        <v>298.35</v>
      </c>
      <c r="G19" s="46">
        <v>4022.0</v>
      </c>
      <c r="H19" s="10">
        <f t="shared" si="19"/>
        <v>1199963.7</v>
      </c>
      <c r="I19" s="17">
        <v>0.11999637000000002</v>
      </c>
      <c r="J19" s="32">
        <v>375.94</v>
      </c>
      <c r="K19" s="11">
        <f t="shared" si="20"/>
        <v>1512030.68</v>
      </c>
      <c r="L19" s="11">
        <f t="shared" si="21"/>
        <v>312066.98</v>
      </c>
      <c r="M19" s="18">
        <f t="shared" si="22"/>
        <v>0.2600636836</v>
      </c>
      <c r="N19" s="10">
        <f t="shared" si="23"/>
        <v>842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9"/>
      <c r="C20" s="1"/>
      <c r="D20" s="1"/>
      <c r="E20" s="14"/>
      <c r="F20" s="1"/>
      <c r="G20" s="1"/>
      <c r="H20" s="4"/>
      <c r="J20" s="1"/>
      <c r="K20" s="1"/>
      <c r="L20" s="1"/>
      <c r="M20" s="5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"/>
      <c r="D21" s="1"/>
      <c r="E21" s="1"/>
      <c r="F21" s="1"/>
      <c r="G21" s="1"/>
      <c r="H21" s="1"/>
      <c r="I21" s="1"/>
      <c r="J21" s="1"/>
      <c r="K21" s="1"/>
      <c r="L21" s="5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4"/>
      <c r="B24" s="66"/>
      <c r="C24" s="55"/>
      <c r="D24" s="55" t="s">
        <v>14</v>
      </c>
      <c r="E24" s="55" t="s">
        <v>18</v>
      </c>
      <c r="F24" s="55" t="s">
        <v>22</v>
      </c>
      <c r="G24" s="55" t="s">
        <v>26</v>
      </c>
      <c r="H24" s="34" t="s">
        <v>33</v>
      </c>
      <c r="I24" s="34" t="s">
        <v>34</v>
      </c>
      <c r="J24" s="56" t="s">
        <v>40</v>
      </c>
      <c r="K24" s="8" t="s">
        <v>42</v>
      </c>
      <c r="L24" s="8" t="s">
        <v>44</v>
      </c>
      <c r="M24" s="8" t="s">
        <v>48</v>
      </c>
      <c r="N24" s="8" t="s">
        <v>49</v>
      </c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1"/>
      <c r="B25" s="64"/>
      <c r="C25" s="57" t="s">
        <v>50</v>
      </c>
      <c r="D25" s="17">
        <v>0.099992</v>
      </c>
      <c r="E25" s="17">
        <v>0.049999145</v>
      </c>
      <c r="F25" s="17">
        <v>0.02499822</v>
      </c>
      <c r="G25" s="77">
        <v>0.05</v>
      </c>
      <c r="H25" s="17">
        <v>0.1201374</v>
      </c>
      <c r="I25" s="17">
        <v>0.07986266</v>
      </c>
      <c r="J25" s="17">
        <v>0.02</v>
      </c>
      <c r="K25" s="17">
        <v>0.04</v>
      </c>
      <c r="L25" s="81">
        <v>0.13</v>
      </c>
      <c r="M25" s="77">
        <v>0.150000025</v>
      </c>
      <c r="N25" s="17">
        <v>0.11999637000000002</v>
      </c>
      <c r="O25" s="17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4"/>
      <c r="C26" s="57" t="s">
        <v>51</v>
      </c>
      <c r="D26" s="58">
        <v>0.006960083609574639</v>
      </c>
      <c r="E26" s="58">
        <v>0.009681346687503586</v>
      </c>
      <c r="F26" s="58">
        <v>0.00827254124278402</v>
      </c>
      <c r="G26" s="58">
        <v>0.0037545720405905213</v>
      </c>
      <c r="H26" s="59">
        <v>8.830051961559462E-4</v>
      </c>
      <c r="I26" s="59">
        <v>0.001059999541509069</v>
      </c>
      <c r="J26" s="59">
        <v>0.0025111481760603273</v>
      </c>
      <c r="K26" s="58">
        <v>0.0026535249752381146</v>
      </c>
      <c r="L26" s="58">
        <v>0.0021918870597135254</v>
      </c>
      <c r="M26" s="58">
        <v>0.0016319259177029056</v>
      </c>
      <c r="N26" s="59">
        <v>0.0023550407626106505</v>
      </c>
      <c r="O26" s="1"/>
      <c r="P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4"/>
      <c r="C27" s="60"/>
      <c r="D27" s="60"/>
      <c r="E27" s="60"/>
      <c r="F27" s="60"/>
      <c r="G27" s="60"/>
      <c r="H27" s="36"/>
      <c r="I27" s="36"/>
      <c r="J27" s="36"/>
      <c r="K27" s="36"/>
      <c r="L27" s="61"/>
      <c r="M27" s="60"/>
      <c r="N27" s="6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4"/>
      <c r="C28" s="62" t="s">
        <v>52</v>
      </c>
      <c r="D28" s="63">
        <f>SUMPRODUCT(D25:N25,D26:N26)*100</f>
        <v>0.2733970028</v>
      </c>
      <c r="E28" s="64"/>
      <c r="F28" s="64"/>
      <c r="G28" s="64"/>
      <c r="H28" s="1"/>
      <c r="I28" s="1"/>
      <c r="J28" s="1"/>
      <c r="K28" s="1"/>
      <c r="L28" s="65"/>
      <c r="M28" s="64"/>
      <c r="N28" s="6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4"/>
      <c r="C29" s="64"/>
      <c r="D29" s="65"/>
      <c r="E29" s="64"/>
      <c r="F29" s="64"/>
      <c r="G29" s="64"/>
      <c r="H29" s="1"/>
      <c r="I29" s="1"/>
      <c r="J29" s="1"/>
      <c r="K29" s="1"/>
      <c r="L29" s="65"/>
      <c r="M29" s="6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9"/>
      <c r="C30" s="67" t="s">
        <v>53</v>
      </c>
      <c r="D30" s="68">
        <f t="shared" ref="D30:N30" si="24">D26*12</f>
        <v>0.08352100331</v>
      </c>
      <c r="E30" s="68">
        <f t="shared" si="24"/>
        <v>0.1161761603</v>
      </c>
      <c r="F30" s="68">
        <f t="shared" si="24"/>
        <v>0.09927049491</v>
      </c>
      <c r="G30" s="68">
        <f t="shared" si="24"/>
        <v>0.04505486449</v>
      </c>
      <c r="H30" s="68">
        <f t="shared" si="24"/>
        <v>0.01059606235</v>
      </c>
      <c r="I30" s="68">
        <f t="shared" si="24"/>
        <v>0.0127199945</v>
      </c>
      <c r="J30" s="68">
        <f t="shared" si="24"/>
        <v>0.03013377811</v>
      </c>
      <c r="K30" s="68">
        <f t="shared" si="24"/>
        <v>0.0318422997</v>
      </c>
      <c r="L30" s="68">
        <f t="shared" si="24"/>
        <v>0.02630264472</v>
      </c>
      <c r="M30" s="68">
        <f t="shared" si="24"/>
        <v>0.01958311101</v>
      </c>
      <c r="N30" s="68">
        <f t="shared" si="24"/>
        <v>0.02826048915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9" t="s">
        <v>54</v>
      </c>
      <c r="D31" s="70">
        <v>0.0272</v>
      </c>
      <c r="E31" s="70">
        <v>0.0447</v>
      </c>
      <c r="F31" s="71">
        <v>0.0451</v>
      </c>
      <c r="G31" s="70">
        <v>0.021</v>
      </c>
      <c r="H31" s="71">
        <v>0.0077</v>
      </c>
      <c r="I31" s="72">
        <v>0.0106</v>
      </c>
      <c r="J31" s="71">
        <v>0.0092</v>
      </c>
      <c r="K31" s="71">
        <v>0.0082</v>
      </c>
      <c r="L31" s="71">
        <v>0.0068</v>
      </c>
      <c r="M31" s="71">
        <v>0.0157</v>
      </c>
      <c r="N31" s="73">
        <v>0.0162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9" t="s">
        <v>55</v>
      </c>
      <c r="D32" s="74">
        <f t="shared" ref="D32:N32" si="25">D31*D31</f>
        <v>0.00073984</v>
      </c>
      <c r="E32" s="74">
        <f t="shared" si="25"/>
        <v>0.00199809</v>
      </c>
      <c r="F32" s="74">
        <f t="shared" si="25"/>
        <v>0.00203401</v>
      </c>
      <c r="G32" s="74">
        <f t="shared" si="25"/>
        <v>0.000441</v>
      </c>
      <c r="H32" s="74">
        <f t="shared" si="25"/>
        <v>0.00005929</v>
      </c>
      <c r="I32" s="74">
        <f t="shared" si="25"/>
        <v>0.00011236</v>
      </c>
      <c r="J32" s="74">
        <f t="shared" si="25"/>
        <v>0.00008464</v>
      </c>
      <c r="K32" s="74">
        <f t="shared" si="25"/>
        <v>0.00006724</v>
      </c>
      <c r="L32" s="74">
        <f t="shared" si="25"/>
        <v>0.00004624</v>
      </c>
      <c r="M32" s="74">
        <f t="shared" si="25"/>
        <v>0.00024649</v>
      </c>
      <c r="N32" s="74">
        <f t="shared" si="25"/>
        <v>0.00026244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9" t="s">
        <v>56</v>
      </c>
      <c r="D33" s="74">
        <f t="shared" ref="D33:N33" si="26">D32*12</f>
        <v>0.00887808</v>
      </c>
      <c r="E33" s="74">
        <f t="shared" si="26"/>
        <v>0.02397708</v>
      </c>
      <c r="F33" s="74">
        <f t="shared" si="26"/>
        <v>0.02440812</v>
      </c>
      <c r="G33" s="74">
        <f t="shared" si="26"/>
        <v>0.005292</v>
      </c>
      <c r="H33" s="74">
        <f t="shared" si="26"/>
        <v>0.00071148</v>
      </c>
      <c r="I33" s="74">
        <f t="shared" si="26"/>
        <v>0.00134832</v>
      </c>
      <c r="J33" s="74">
        <f t="shared" si="26"/>
        <v>0.00101568</v>
      </c>
      <c r="K33" s="74">
        <f t="shared" si="26"/>
        <v>0.00080688</v>
      </c>
      <c r="L33" s="74">
        <f t="shared" si="26"/>
        <v>0.00055488</v>
      </c>
      <c r="M33" s="74">
        <f t="shared" si="26"/>
        <v>0.00295788</v>
      </c>
      <c r="N33" s="74">
        <f t="shared" si="26"/>
        <v>0.00314928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75" t="s">
        <v>57</v>
      </c>
      <c r="D34" s="74">
        <f t="shared" ref="D34:N34" si="27">SQRT(D33)</f>
        <v>0.09422356393</v>
      </c>
      <c r="E34" s="74">
        <f t="shared" si="27"/>
        <v>0.1548453422</v>
      </c>
      <c r="F34" s="74">
        <f t="shared" si="27"/>
        <v>0.1562309828</v>
      </c>
      <c r="G34" s="74">
        <f t="shared" si="27"/>
        <v>0.07274613392</v>
      </c>
      <c r="H34" s="74">
        <f t="shared" si="27"/>
        <v>0.02667358244</v>
      </c>
      <c r="I34" s="74">
        <f t="shared" si="27"/>
        <v>0.03671947712</v>
      </c>
      <c r="J34" s="74">
        <f t="shared" si="27"/>
        <v>0.03186973486</v>
      </c>
      <c r="K34" s="74">
        <f t="shared" si="27"/>
        <v>0.02840563324</v>
      </c>
      <c r="L34" s="74">
        <f t="shared" si="27"/>
        <v>0.02355589098</v>
      </c>
      <c r="M34" s="74">
        <f t="shared" si="27"/>
        <v>0.05438639536</v>
      </c>
      <c r="N34" s="74">
        <f t="shared" si="27"/>
        <v>0.05611844617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7">
        <v>0.099992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7">
        <v>0.049999145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7">
        <v>0.02499822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7">
        <v>0.07500714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7">
        <v>0.1201374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7">
        <v>0.07986266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7">
        <v>0.02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7">
        <v>0.04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7">
        <v>0.139987468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7">
        <v>0.180000025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7">
        <v>0.11999637000000002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20.89"/>
    <col customWidth="1" min="4" max="4" width="15.11"/>
    <col customWidth="1" min="5" max="5" width="12.11"/>
    <col customWidth="1" min="6" max="6" width="13.0"/>
    <col customWidth="1" min="7" max="7" width="20.67"/>
    <col customWidth="1" min="8" max="8" width="16.0"/>
    <col customWidth="1" min="9" max="9" width="20.44"/>
    <col customWidth="1" min="10" max="10" width="25.44"/>
    <col customWidth="1" min="11" max="11" width="15.0"/>
    <col customWidth="1" min="12" max="12" width="17.56"/>
    <col customWidth="1" min="13" max="13" width="24.67"/>
    <col customWidth="1" min="14" max="14" width="20.11"/>
    <col customWidth="1" min="15" max="15" width="25.33"/>
    <col customWidth="1" min="16" max="16" width="17.78"/>
    <col customWidth="1" min="17" max="17" width="17.11"/>
    <col customWidth="1" min="18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4"/>
      <c r="H3" s="2"/>
      <c r="I3" s="11">
        <v>3000000.0</v>
      </c>
      <c r="J3" s="54">
        <f>I3*60%</f>
        <v>1800000</v>
      </c>
      <c r="K3" s="1">
        <f>I3*30%</f>
        <v>900000</v>
      </c>
      <c r="L3" s="1">
        <f>I3*10%</f>
        <v>300000</v>
      </c>
      <c r="M3" s="1"/>
      <c r="N3" s="1"/>
      <c r="P3" s="4">
        <v>1.0E7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4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0</v>
      </c>
      <c r="C5" s="6" t="s">
        <v>1</v>
      </c>
      <c r="D5" s="7" t="s">
        <v>2</v>
      </c>
      <c r="E5" s="6" t="s">
        <v>3</v>
      </c>
      <c r="F5" s="6" t="s">
        <v>4</v>
      </c>
      <c r="G5" s="8" t="s">
        <v>5</v>
      </c>
      <c r="H5" s="8" t="s">
        <v>6</v>
      </c>
      <c r="I5" s="9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P5" s="10" t="s">
        <v>13</v>
      </c>
      <c r="Q5" s="11">
        <f>P3*25%</f>
        <v>2500000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2" t="s">
        <v>14</v>
      </c>
      <c r="C6" s="10" t="s">
        <v>15</v>
      </c>
      <c r="D6" s="13" t="s">
        <v>16</v>
      </c>
      <c r="E6" s="14">
        <v>45225.0</v>
      </c>
      <c r="F6" s="10">
        <v>86.2</v>
      </c>
      <c r="G6" s="22">
        <v>8702.0</v>
      </c>
      <c r="H6" s="16">
        <f t="shared" ref="H6:H9" si="1">F6*G6</f>
        <v>750112.4</v>
      </c>
      <c r="I6" s="17">
        <f t="shared" ref="I6:I9" si="2">H6/10000000</f>
        <v>0.07501124</v>
      </c>
      <c r="J6" s="11">
        <f>IFERROR(__xludf.DUMMYFUNCTION("GOOGLEFINANCE(D6)"),176.72)</f>
        <v>176.72</v>
      </c>
      <c r="K6" s="11">
        <f t="shared" ref="K6:K9" si="3">J6*G6</f>
        <v>1537817.44</v>
      </c>
      <c r="L6" s="11">
        <f t="shared" ref="L6:L9" si="4">K6-H6</f>
        <v>787705.04</v>
      </c>
      <c r="M6" s="18">
        <f t="shared" ref="M6:M9" si="5">(K6-H6)/H6</f>
        <v>1.050116009</v>
      </c>
      <c r="N6" s="15">
        <f t="shared" ref="N6:N9" si="6">TODAY()-E6</f>
        <v>842</v>
      </c>
      <c r="P6" s="10" t="s">
        <v>17</v>
      </c>
      <c r="Q6" s="11">
        <f>10%*P3</f>
        <v>1000000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9" t="s">
        <v>18</v>
      </c>
      <c r="C7" s="10" t="s">
        <v>19</v>
      </c>
      <c r="D7" s="13" t="s">
        <v>20</v>
      </c>
      <c r="E7" s="20">
        <v>45229.0</v>
      </c>
      <c r="F7" s="21">
        <v>74.95</v>
      </c>
      <c r="G7" s="22">
        <v>1668.0</v>
      </c>
      <c r="H7" s="16">
        <f t="shared" si="1"/>
        <v>125016.6</v>
      </c>
      <c r="I7" s="17">
        <f t="shared" si="2"/>
        <v>0.01250166</v>
      </c>
      <c r="J7" s="11">
        <f>IFERROR(__xludf.DUMMYFUNCTION("GOOGLEFINANCE(D7)"),195.4)</f>
        <v>195.4</v>
      </c>
      <c r="K7" s="11">
        <f t="shared" si="3"/>
        <v>325927.2</v>
      </c>
      <c r="L7" s="11">
        <f t="shared" si="4"/>
        <v>200910.6</v>
      </c>
      <c r="M7" s="18">
        <f t="shared" si="5"/>
        <v>1.607071381</v>
      </c>
      <c r="N7" s="15">
        <f t="shared" si="6"/>
        <v>838</v>
      </c>
      <c r="P7" s="10" t="s">
        <v>21</v>
      </c>
      <c r="Q7" s="11">
        <f>20%*P3</f>
        <v>2000000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22</v>
      </c>
      <c r="C8" s="23" t="s">
        <v>23</v>
      </c>
      <c r="D8" s="13" t="s">
        <v>24</v>
      </c>
      <c r="E8" s="24">
        <v>45225.0</v>
      </c>
      <c r="F8" s="21">
        <v>70.2</v>
      </c>
      <c r="G8" s="22">
        <v>1782.0</v>
      </c>
      <c r="H8" s="16">
        <f t="shared" si="1"/>
        <v>125096.4</v>
      </c>
      <c r="I8" s="17">
        <f t="shared" si="2"/>
        <v>0.01250964</v>
      </c>
      <c r="J8" s="11">
        <f>IFERROR(__xludf.DUMMYFUNCTION("GOOGLEFINANCE(D8)"),111.4)</f>
        <v>111.4</v>
      </c>
      <c r="K8" s="11">
        <f t="shared" si="3"/>
        <v>198514.8</v>
      </c>
      <c r="L8" s="11">
        <f t="shared" si="4"/>
        <v>73418.4</v>
      </c>
      <c r="M8" s="18">
        <f t="shared" si="5"/>
        <v>0.5868945869</v>
      </c>
      <c r="N8" s="15">
        <f t="shared" si="6"/>
        <v>842</v>
      </c>
      <c r="P8" s="11" t="s">
        <v>25</v>
      </c>
      <c r="Q8" s="11">
        <f>P3*15%</f>
        <v>1500000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26</v>
      </c>
      <c r="C9" s="10" t="s">
        <v>27</v>
      </c>
      <c r="D9" s="26" t="s">
        <v>28</v>
      </c>
      <c r="E9" s="24">
        <v>45240.0</v>
      </c>
      <c r="F9" s="21">
        <v>418.1</v>
      </c>
      <c r="G9" s="22">
        <v>3587.0</v>
      </c>
      <c r="H9" s="16">
        <f t="shared" si="1"/>
        <v>1499724.7</v>
      </c>
      <c r="I9" s="17">
        <f t="shared" si="2"/>
        <v>0.14997247</v>
      </c>
      <c r="J9" s="11">
        <f>IFERROR(__xludf.DUMMYFUNCTION("GOOGLEFINANCE(D9)"),518.75)</f>
        <v>518.75</v>
      </c>
      <c r="K9" s="11">
        <f t="shared" si="3"/>
        <v>1860756.25</v>
      </c>
      <c r="L9" s="11">
        <f t="shared" si="4"/>
        <v>361031.55</v>
      </c>
      <c r="M9" s="18">
        <f t="shared" si="5"/>
        <v>0.2407318823</v>
      </c>
      <c r="N9" s="15">
        <f t="shared" si="6"/>
        <v>827</v>
      </c>
      <c r="P9" s="10" t="s">
        <v>29</v>
      </c>
      <c r="Q9" s="11">
        <f>P3*30%</f>
        <v>3000000</v>
      </c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7" t="s">
        <v>30</v>
      </c>
      <c r="C10" s="1"/>
      <c r="D10" s="1"/>
      <c r="E10" s="6" t="s">
        <v>3</v>
      </c>
      <c r="F10" s="6" t="s">
        <v>4</v>
      </c>
      <c r="G10" s="8" t="s">
        <v>31</v>
      </c>
      <c r="H10" s="28" t="s">
        <v>6</v>
      </c>
      <c r="I10" s="17"/>
      <c r="J10" s="28" t="s">
        <v>32</v>
      </c>
      <c r="K10" s="11"/>
      <c r="L10" s="11"/>
      <c r="M10" s="18"/>
      <c r="N10" s="15"/>
      <c r="O10" s="1"/>
      <c r="P10" s="1"/>
      <c r="Q10" s="4">
        <f>SUM(Q5:Q9)</f>
        <v>10000000</v>
      </c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9" t="s">
        <v>33</v>
      </c>
      <c r="C11" s="1"/>
      <c r="D11" s="1"/>
      <c r="E11" s="14">
        <v>45210.0</v>
      </c>
      <c r="F11" s="10">
        <v>1937.7</v>
      </c>
      <c r="G11" s="22">
        <v>361.0</v>
      </c>
      <c r="H11" s="11">
        <f t="shared" ref="H11:H12" si="7">G11*F11</f>
        <v>699509.7</v>
      </c>
      <c r="I11" s="17">
        <f t="shared" ref="I11:I12" si="8">H11/10000000</f>
        <v>0.06995097</v>
      </c>
      <c r="J11" s="30">
        <v>2178.0</v>
      </c>
      <c r="K11" s="11">
        <f t="shared" ref="K11:K12" si="9">J11*G11</f>
        <v>786258</v>
      </c>
      <c r="L11" s="11">
        <f t="shared" ref="L11:L12" si="10">K11-H11</f>
        <v>86748.3</v>
      </c>
      <c r="M11" s="18">
        <f t="shared" ref="M11:M12" si="11">(K11-H11)/H11</f>
        <v>0.1240130051</v>
      </c>
      <c r="N11" s="15">
        <f t="shared" ref="N11:N12" si="12">TODAY()-E11</f>
        <v>857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9" t="s">
        <v>34</v>
      </c>
      <c r="C12" s="1"/>
      <c r="D12" s="1"/>
      <c r="E12" s="14">
        <v>45256.0</v>
      </c>
      <c r="F12" s="10">
        <v>3.5845</v>
      </c>
      <c r="G12" s="22">
        <v>83799.0</v>
      </c>
      <c r="H12" s="11">
        <f t="shared" si="7"/>
        <v>300377.5155</v>
      </c>
      <c r="I12" s="17">
        <f t="shared" si="8"/>
        <v>0.03003775155</v>
      </c>
      <c r="J12" s="10">
        <v>4.0072</v>
      </c>
      <c r="K12" s="11">
        <f t="shared" si="9"/>
        <v>335799.3528</v>
      </c>
      <c r="L12" s="11">
        <f t="shared" si="10"/>
        <v>35421.8373</v>
      </c>
      <c r="M12" s="18">
        <f t="shared" si="11"/>
        <v>0.1179243967</v>
      </c>
      <c r="N12" s="15">
        <f t="shared" si="12"/>
        <v>811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31" t="s">
        <v>35</v>
      </c>
      <c r="C13" s="32" t="s">
        <v>36</v>
      </c>
      <c r="D13" s="1"/>
      <c r="E13" s="33" t="s">
        <v>3</v>
      </c>
      <c r="F13" s="9" t="s">
        <v>37</v>
      </c>
      <c r="G13" s="34" t="s">
        <v>38</v>
      </c>
      <c r="H13" s="28" t="s">
        <v>6</v>
      </c>
      <c r="I13" s="17"/>
      <c r="J13" s="35" t="s">
        <v>39</v>
      </c>
      <c r="K13" s="11"/>
      <c r="L13" s="11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6" t="s">
        <v>40</v>
      </c>
      <c r="C14" s="37" t="s">
        <v>41</v>
      </c>
      <c r="D14" s="1"/>
      <c r="E14" s="14">
        <v>45225.0</v>
      </c>
      <c r="F14" s="38">
        <v>60.82</v>
      </c>
      <c r="G14" s="39">
        <v>4932.587964485367</v>
      </c>
      <c r="H14" s="11">
        <f t="shared" ref="H14:H16" si="13">G14*F14</f>
        <v>300000</v>
      </c>
      <c r="I14" s="17">
        <f t="shared" ref="I14:I16" si="14">H14/10000000</f>
        <v>0.03</v>
      </c>
      <c r="J14" s="11">
        <f>IFERROR(__xludf.DUMMYFUNCTION("GOOGLEFINANCE(C14)"),92.47)</f>
        <v>92.47</v>
      </c>
      <c r="K14" s="11">
        <f t="shared" ref="K14:K16" si="15">J14*G14</f>
        <v>456116.4091</v>
      </c>
      <c r="L14" s="11">
        <f t="shared" ref="L14:L16" si="16">K14-H14</f>
        <v>156116.4091</v>
      </c>
      <c r="M14" s="18">
        <f t="shared" ref="M14:M16" si="17">(K14-H14)/H14</f>
        <v>0.5203880303</v>
      </c>
      <c r="N14" s="10">
        <f t="shared" ref="N14:N16" si="18">TODAY()-E14</f>
        <v>842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9" t="s">
        <v>42</v>
      </c>
      <c r="C15" s="40" t="s">
        <v>43</v>
      </c>
      <c r="D15" s="1"/>
      <c r="E15" s="41">
        <v>45225.0</v>
      </c>
      <c r="F15" s="38">
        <v>34.44</v>
      </c>
      <c r="G15" s="39">
        <v>26132.40418118467</v>
      </c>
      <c r="H15" s="11">
        <f t="shared" si="13"/>
        <v>900000</v>
      </c>
      <c r="I15" s="17">
        <f t="shared" si="14"/>
        <v>0.09</v>
      </c>
      <c r="J15" s="11">
        <f>IFERROR(__xludf.DUMMYFUNCTION("GOOGLEFINANCE(C15)"),48.85)</f>
        <v>48.85</v>
      </c>
      <c r="K15" s="11">
        <f t="shared" si="15"/>
        <v>1276567.944</v>
      </c>
      <c r="L15" s="11">
        <f t="shared" si="16"/>
        <v>376567.9443</v>
      </c>
      <c r="M15" s="18">
        <f t="shared" si="17"/>
        <v>0.4184088269</v>
      </c>
      <c r="N15" s="10">
        <f t="shared" si="18"/>
        <v>842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2" t="s">
        <v>44</v>
      </c>
      <c r="C16" s="37" t="s">
        <v>45</v>
      </c>
      <c r="D16" s="1"/>
      <c r="E16" s="41">
        <v>45225.0</v>
      </c>
      <c r="F16" s="38">
        <v>924.62</v>
      </c>
      <c r="G16" s="32">
        <v>1946.0</v>
      </c>
      <c r="H16" s="11">
        <f t="shared" si="13"/>
        <v>1799310.52</v>
      </c>
      <c r="I16" s="17">
        <f t="shared" si="14"/>
        <v>0.179931052</v>
      </c>
      <c r="J16" s="11">
        <f>IFERROR(__xludf.DUMMYFUNCTION("GOOGLEFINANCE(C16)"),1438.23)</f>
        <v>1438.23</v>
      </c>
      <c r="K16" s="11">
        <f t="shared" si="15"/>
        <v>2798795.58</v>
      </c>
      <c r="L16" s="11">
        <f t="shared" si="16"/>
        <v>999485.06</v>
      </c>
      <c r="M16" s="18">
        <f t="shared" si="17"/>
        <v>0.5554822522</v>
      </c>
      <c r="N16" s="10">
        <f t="shared" si="18"/>
        <v>842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3" t="s">
        <v>46</v>
      </c>
      <c r="C17" s="1"/>
      <c r="D17" s="1"/>
      <c r="E17" s="14"/>
      <c r="F17" s="10"/>
      <c r="G17" s="10"/>
      <c r="H17" s="11"/>
      <c r="I17" s="17"/>
      <c r="J17" s="32" t="s">
        <v>47</v>
      </c>
      <c r="K17" s="11"/>
      <c r="L17" s="11"/>
      <c r="M17" s="18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 t="s">
        <v>48</v>
      </c>
      <c r="C18" s="1"/>
      <c r="D18" s="1"/>
      <c r="E18" s="45">
        <v>45226.0</v>
      </c>
      <c r="F18" s="32">
        <v>2.23</v>
      </c>
      <c r="G18" s="46">
        <v>493273.0</v>
      </c>
      <c r="H18" s="10">
        <f t="shared" ref="H18:H19" si="19">G18*F18</f>
        <v>1099998.79</v>
      </c>
      <c r="I18" s="17">
        <f t="shared" ref="I18:I19" si="20">H18/10000000</f>
        <v>0.109999879</v>
      </c>
      <c r="J18" s="47">
        <v>2.66</v>
      </c>
      <c r="K18" s="11">
        <f t="shared" ref="K18:K19" si="21">J18*G18</f>
        <v>1312106.18</v>
      </c>
      <c r="L18" s="11">
        <f t="shared" ref="L18:L19" si="22">K18-H18</f>
        <v>212107.39</v>
      </c>
      <c r="M18" s="18">
        <f t="shared" ref="M18:M19" si="23">(K18-H18)/H18</f>
        <v>0.1928251121</v>
      </c>
      <c r="N18" s="10">
        <f t="shared" ref="N18:N19" si="24">TODAY()-E18</f>
        <v>841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8" t="s">
        <v>49</v>
      </c>
      <c r="C19" s="1"/>
      <c r="D19" s="1"/>
      <c r="E19" s="41">
        <v>45225.0</v>
      </c>
      <c r="F19" s="32">
        <v>298.35</v>
      </c>
      <c r="G19" s="46">
        <v>3016.0</v>
      </c>
      <c r="H19" s="10">
        <f t="shared" si="19"/>
        <v>899823.6</v>
      </c>
      <c r="I19" s="17">
        <f t="shared" si="20"/>
        <v>0.08998236</v>
      </c>
      <c r="J19" s="32">
        <v>375.94</v>
      </c>
      <c r="K19" s="11">
        <f t="shared" si="21"/>
        <v>1133835.04</v>
      </c>
      <c r="L19" s="11">
        <f t="shared" si="22"/>
        <v>234011.44</v>
      </c>
      <c r="M19" s="18">
        <f t="shared" si="23"/>
        <v>0.2600636836</v>
      </c>
      <c r="N19" s="10">
        <f t="shared" si="24"/>
        <v>842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9"/>
      <c r="C20" s="1"/>
      <c r="D20" s="1"/>
      <c r="E20" s="14"/>
      <c r="F20" s="1"/>
      <c r="G20" s="1"/>
      <c r="H20" s="4"/>
      <c r="J20" s="1"/>
      <c r="K20" s="1"/>
      <c r="L20" s="1"/>
      <c r="M20" s="5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"/>
      <c r="D21" s="1"/>
      <c r="E21" s="1"/>
      <c r="F21" s="1"/>
      <c r="G21" s="1"/>
      <c r="H21" s="1"/>
      <c r="I21" s="1"/>
      <c r="J21" s="1"/>
      <c r="K21" s="1"/>
      <c r="L21" s="5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4"/>
      <c r="B24" s="66"/>
      <c r="C24" s="55"/>
      <c r="D24" s="55" t="s">
        <v>14</v>
      </c>
      <c r="E24" s="55" t="s">
        <v>18</v>
      </c>
      <c r="F24" s="55" t="s">
        <v>22</v>
      </c>
      <c r="G24" s="55" t="s">
        <v>26</v>
      </c>
      <c r="H24" s="34" t="s">
        <v>33</v>
      </c>
      <c r="I24" s="34" t="s">
        <v>34</v>
      </c>
      <c r="J24" s="56" t="s">
        <v>40</v>
      </c>
      <c r="K24" s="8" t="s">
        <v>42</v>
      </c>
      <c r="L24" s="8" t="s">
        <v>44</v>
      </c>
      <c r="M24" s="8" t="s">
        <v>48</v>
      </c>
      <c r="N24" s="8" t="s">
        <v>49</v>
      </c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1"/>
      <c r="B25" s="64"/>
      <c r="C25" s="57" t="s">
        <v>50</v>
      </c>
      <c r="D25" s="17">
        <v>0.07501124</v>
      </c>
      <c r="E25" s="17">
        <v>0.012501660000000001</v>
      </c>
      <c r="F25" s="17">
        <v>0.01250964</v>
      </c>
      <c r="G25" s="17">
        <v>0.14997247000000002</v>
      </c>
      <c r="H25" s="17">
        <v>0.06995097</v>
      </c>
      <c r="I25" s="17">
        <v>0.03003775155</v>
      </c>
      <c r="J25" s="17">
        <v>0.03</v>
      </c>
      <c r="K25" s="17">
        <v>0.09</v>
      </c>
      <c r="L25" s="17">
        <v>0.179931052</v>
      </c>
      <c r="M25" s="17">
        <v>0.10999987900000001</v>
      </c>
      <c r="N25" s="17">
        <v>0.08998236000000001</v>
      </c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4"/>
      <c r="C26" s="57" t="s">
        <v>51</v>
      </c>
      <c r="D26" s="58">
        <v>0.006960083609574639</v>
      </c>
      <c r="E26" s="58">
        <v>0.009681346687503586</v>
      </c>
      <c r="F26" s="58">
        <v>0.00827254124278402</v>
      </c>
      <c r="G26" s="58">
        <v>0.0037545720405905213</v>
      </c>
      <c r="H26" s="59">
        <v>8.830051961559462E-4</v>
      </c>
      <c r="I26" s="59">
        <v>0.001059999541509069</v>
      </c>
      <c r="J26" s="59">
        <v>0.0025111481760603273</v>
      </c>
      <c r="K26" s="58">
        <v>0.0026535249752381146</v>
      </c>
      <c r="L26" s="58">
        <v>0.0021918870597135254</v>
      </c>
      <c r="M26" s="58">
        <v>0.0016319259177029056</v>
      </c>
      <c r="N26" s="59">
        <v>0.0023550407626106505</v>
      </c>
      <c r="O26" s="1"/>
      <c r="P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4"/>
      <c r="C27" s="60"/>
      <c r="D27" s="60"/>
      <c r="E27" s="60"/>
      <c r="F27" s="60"/>
      <c r="G27" s="60"/>
      <c r="H27" s="36"/>
      <c r="I27" s="36"/>
      <c r="J27" s="36"/>
      <c r="K27" s="36"/>
      <c r="L27" s="61"/>
      <c r="M27" s="60"/>
      <c r="N27" s="6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4"/>
      <c r="C28" s="62" t="s">
        <v>52</v>
      </c>
      <c r="D28" s="63">
        <f>SUMPRODUCT(D25:N25,D26:N26)*100</f>
        <v>0.2503257452</v>
      </c>
      <c r="E28" s="64"/>
      <c r="F28" s="64"/>
      <c r="G28" s="64"/>
      <c r="H28" s="1"/>
      <c r="I28" s="1"/>
      <c r="J28" s="1"/>
      <c r="K28" s="1"/>
      <c r="L28" s="65"/>
      <c r="M28" s="64"/>
      <c r="N28" s="6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4"/>
      <c r="C29" s="64"/>
      <c r="D29" s="65"/>
      <c r="E29" s="64"/>
      <c r="F29" s="64"/>
      <c r="G29" s="64"/>
      <c r="H29" s="1"/>
      <c r="I29" s="1"/>
      <c r="J29" s="1"/>
      <c r="K29" s="1"/>
      <c r="L29" s="65"/>
      <c r="M29" s="6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9"/>
      <c r="C30" s="67" t="s">
        <v>53</v>
      </c>
      <c r="D30" s="68">
        <f t="shared" ref="D30:N30" si="25">D26*12</f>
        <v>0.08352100331</v>
      </c>
      <c r="E30" s="68">
        <f t="shared" si="25"/>
        <v>0.1161761603</v>
      </c>
      <c r="F30" s="68">
        <f t="shared" si="25"/>
        <v>0.09927049491</v>
      </c>
      <c r="G30" s="68">
        <f t="shared" si="25"/>
        <v>0.04505486449</v>
      </c>
      <c r="H30" s="68">
        <f t="shared" si="25"/>
        <v>0.01059606235</v>
      </c>
      <c r="I30" s="68">
        <f t="shared" si="25"/>
        <v>0.0127199945</v>
      </c>
      <c r="J30" s="68">
        <f t="shared" si="25"/>
        <v>0.03013377811</v>
      </c>
      <c r="K30" s="68">
        <f t="shared" si="25"/>
        <v>0.0318422997</v>
      </c>
      <c r="L30" s="68">
        <f t="shared" si="25"/>
        <v>0.02630264472</v>
      </c>
      <c r="M30" s="68">
        <f t="shared" si="25"/>
        <v>0.01958311101</v>
      </c>
      <c r="N30" s="68">
        <f t="shared" si="25"/>
        <v>0.02826048915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9" t="s">
        <v>54</v>
      </c>
      <c r="D31" s="70">
        <v>0.0272</v>
      </c>
      <c r="E31" s="70">
        <v>0.0447</v>
      </c>
      <c r="F31" s="71">
        <v>0.0451</v>
      </c>
      <c r="G31" s="70">
        <v>0.021</v>
      </c>
      <c r="H31" s="71">
        <v>0.0077</v>
      </c>
      <c r="I31" s="72">
        <v>0.0106</v>
      </c>
      <c r="J31" s="71">
        <v>0.0092</v>
      </c>
      <c r="K31" s="71">
        <v>0.0082</v>
      </c>
      <c r="L31" s="71">
        <v>0.0068</v>
      </c>
      <c r="M31" s="71">
        <v>0.0157</v>
      </c>
      <c r="N31" s="73">
        <v>0.0162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9" t="s">
        <v>55</v>
      </c>
      <c r="D32" s="74">
        <f t="shared" ref="D32:N32" si="26">D31*D31</f>
        <v>0.00073984</v>
      </c>
      <c r="E32" s="74">
        <f t="shared" si="26"/>
        <v>0.00199809</v>
      </c>
      <c r="F32" s="74">
        <f t="shared" si="26"/>
        <v>0.00203401</v>
      </c>
      <c r="G32" s="74">
        <f t="shared" si="26"/>
        <v>0.000441</v>
      </c>
      <c r="H32" s="74">
        <f t="shared" si="26"/>
        <v>0.00005929</v>
      </c>
      <c r="I32" s="74">
        <f t="shared" si="26"/>
        <v>0.00011236</v>
      </c>
      <c r="J32" s="74">
        <f t="shared" si="26"/>
        <v>0.00008464</v>
      </c>
      <c r="K32" s="74">
        <f t="shared" si="26"/>
        <v>0.00006724</v>
      </c>
      <c r="L32" s="74">
        <f t="shared" si="26"/>
        <v>0.00004624</v>
      </c>
      <c r="M32" s="74">
        <f t="shared" si="26"/>
        <v>0.00024649</v>
      </c>
      <c r="N32" s="74">
        <f t="shared" si="26"/>
        <v>0.00026244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9" t="s">
        <v>56</v>
      </c>
      <c r="D33" s="74">
        <f t="shared" ref="D33:N33" si="27">D32*12</f>
        <v>0.00887808</v>
      </c>
      <c r="E33" s="74">
        <f t="shared" si="27"/>
        <v>0.02397708</v>
      </c>
      <c r="F33" s="74">
        <f t="shared" si="27"/>
        <v>0.02440812</v>
      </c>
      <c r="G33" s="74">
        <f t="shared" si="27"/>
        <v>0.005292</v>
      </c>
      <c r="H33" s="74">
        <f t="shared" si="27"/>
        <v>0.00071148</v>
      </c>
      <c r="I33" s="74">
        <f t="shared" si="27"/>
        <v>0.00134832</v>
      </c>
      <c r="J33" s="74">
        <f t="shared" si="27"/>
        <v>0.00101568</v>
      </c>
      <c r="K33" s="74">
        <f t="shared" si="27"/>
        <v>0.00080688</v>
      </c>
      <c r="L33" s="74">
        <f t="shared" si="27"/>
        <v>0.00055488</v>
      </c>
      <c r="M33" s="74">
        <f t="shared" si="27"/>
        <v>0.00295788</v>
      </c>
      <c r="N33" s="74">
        <f t="shared" si="27"/>
        <v>0.00314928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75" t="s">
        <v>57</v>
      </c>
      <c r="D34" s="74">
        <f t="shared" ref="D34:N34" si="28">SQRT(D33)</f>
        <v>0.09422356393</v>
      </c>
      <c r="E34" s="74">
        <f t="shared" si="28"/>
        <v>0.1548453422</v>
      </c>
      <c r="F34" s="74">
        <f t="shared" si="28"/>
        <v>0.1562309828</v>
      </c>
      <c r="G34" s="74">
        <f t="shared" si="28"/>
        <v>0.07274613392</v>
      </c>
      <c r="H34" s="74">
        <f t="shared" si="28"/>
        <v>0.02667358244</v>
      </c>
      <c r="I34" s="74">
        <f t="shared" si="28"/>
        <v>0.03671947712</v>
      </c>
      <c r="J34" s="74">
        <f t="shared" si="28"/>
        <v>0.03186973486</v>
      </c>
      <c r="K34" s="74">
        <f t="shared" si="28"/>
        <v>0.02840563324</v>
      </c>
      <c r="L34" s="74">
        <f t="shared" si="28"/>
        <v>0.02355589098</v>
      </c>
      <c r="M34" s="74">
        <f t="shared" si="28"/>
        <v>0.05438639536</v>
      </c>
      <c r="N34" s="74">
        <f t="shared" si="28"/>
        <v>0.05611844617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7">
        <v>0.07501124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7">
        <v>0.012501660000000001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7">
        <v>0.01250964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7">
        <v>0.14997247000000002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7">
        <v>0.06995097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7">
        <v>0.03003775155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7">
        <v>0.03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7">
        <v>0.09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7">
        <v>0.179931052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7">
        <v>0.10999987900000001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7">
        <v>0.08998236000000001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20.89"/>
    <col customWidth="1" min="4" max="4" width="15.11"/>
    <col customWidth="1" min="5" max="5" width="12.11"/>
    <col customWidth="1" min="6" max="6" width="13.0"/>
    <col customWidth="1" min="7" max="7" width="20.67"/>
    <col customWidth="1" min="8" max="8" width="16.0"/>
    <col customWidth="1" min="9" max="9" width="20.44"/>
    <col customWidth="1" min="10" max="10" width="25.44"/>
    <col customWidth="1" min="11" max="11" width="15.0"/>
    <col customWidth="1" min="12" max="12" width="17.56"/>
    <col customWidth="1" min="13" max="13" width="24.67"/>
    <col customWidth="1" min="14" max="14" width="20.11"/>
    <col customWidth="1" min="15" max="15" width="25.33"/>
    <col customWidth="1" min="16" max="16" width="17.78"/>
    <col customWidth="1" min="17" max="17" width="17.11"/>
    <col customWidth="1" min="18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4"/>
      <c r="G3" s="1"/>
      <c r="H3" s="1"/>
      <c r="I3" s="2"/>
      <c r="J3" s="1"/>
      <c r="K3" s="1"/>
      <c r="L3" s="1"/>
      <c r="M3" s="1"/>
      <c r="N3" s="1"/>
      <c r="P3" s="4">
        <v>1.0E7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0</v>
      </c>
      <c r="C5" s="6" t="s">
        <v>1</v>
      </c>
      <c r="D5" s="7" t="s">
        <v>2</v>
      </c>
      <c r="E5" s="6" t="s">
        <v>3</v>
      </c>
      <c r="F5" s="6" t="s">
        <v>4</v>
      </c>
      <c r="G5" s="8" t="s">
        <v>5</v>
      </c>
      <c r="H5" s="8" t="s">
        <v>6</v>
      </c>
      <c r="I5" s="9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P5" s="10" t="s">
        <v>13</v>
      </c>
      <c r="Q5" s="11">
        <f>P3*20%</f>
        <v>2000000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2" t="s">
        <v>14</v>
      </c>
      <c r="C6" s="10" t="s">
        <v>15</v>
      </c>
      <c r="D6" s="13" t="s">
        <v>16</v>
      </c>
      <c r="E6" s="14">
        <v>45225.0</v>
      </c>
      <c r="F6" s="10">
        <v>86.2</v>
      </c>
      <c r="G6" s="22">
        <v>4639.0</v>
      </c>
      <c r="H6" s="16">
        <f t="shared" ref="H6:H9" si="1">F6*G6</f>
        <v>399881.8</v>
      </c>
      <c r="I6" s="17">
        <f t="shared" ref="I6:I9" si="2">H6/10000000</f>
        <v>0.03998818</v>
      </c>
      <c r="J6" s="11">
        <f>IFERROR(__xludf.DUMMYFUNCTION("GOOGLEFINANCE(D6)"),176.72)</f>
        <v>176.72</v>
      </c>
      <c r="K6" s="11">
        <f t="shared" ref="K6:K9" si="3">J6*G6</f>
        <v>819804.08</v>
      </c>
      <c r="L6" s="11">
        <f t="shared" ref="L6:L9" si="4">K6-H6</f>
        <v>419922.28</v>
      </c>
      <c r="M6" s="18">
        <f>(K6-H6)/H6</f>
        <v>1.050116009</v>
      </c>
      <c r="N6" s="15">
        <f t="shared" ref="N6:N9" si="5">TODAY()-E6</f>
        <v>842</v>
      </c>
      <c r="P6" s="10" t="s">
        <v>17</v>
      </c>
      <c r="Q6" s="11">
        <f>10%*P3</f>
        <v>1000000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9" t="s">
        <v>18</v>
      </c>
      <c r="C7" s="10" t="s">
        <v>19</v>
      </c>
      <c r="D7" s="13" t="s">
        <v>20</v>
      </c>
      <c r="E7" s="20">
        <v>45229.0</v>
      </c>
      <c r="F7" s="21">
        <v>74.95</v>
      </c>
      <c r="G7" s="22">
        <v>0.0</v>
      </c>
      <c r="H7" s="16">
        <f t="shared" si="1"/>
        <v>0</v>
      </c>
      <c r="I7" s="17">
        <f t="shared" si="2"/>
        <v>0</v>
      </c>
      <c r="J7" s="11">
        <f>IFERROR(__xludf.DUMMYFUNCTION("GOOGLEFINANCE(D7)"),195.4)</f>
        <v>195.4</v>
      </c>
      <c r="K7" s="11">
        <f t="shared" si="3"/>
        <v>0</v>
      </c>
      <c r="L7" s="11">
        <f t="shared" si="4"/>
        <v>0</v>
      </c>
      <c r="M7" s="32" t="s">
        <v>58</v>
      </c>
      <c r="N7" s="15">
        <f t="shared" si="5"/>
        <v>838</v>
      </c>
      <c r="P7" s="10" t="s">
        <v>21</v>
      </c>
      <c r="Q7" s="11">
        <f>30%*P3</f>
        <v>3000000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 t="s">
        <v>22</v>
      </c>
      <c r="C8" s="23" t="s">
        <v>23</v>
      </c>
      <c r="D8" s="13" t="s">
        <v>24</v>
      </c>
      <c r="E8" s="24">
        <v>45225.0</v>
      </c>
      <c r="F8" s="21">
        <v>70.2</v>
      </c>
      <c r="G8" s="22">
        <v>0.0</v>
      </c>
      <c r="H8" s="16">
        <f t="shared" si="1"/>
        <v>0</v>
      </c>
      <c r="I8" s="17">
        <f t="shared" si="2"/>
        <v>0</v>
      </c>
      <c r="J8" s="11">
        <f>IFERROR(__xludf.DUMMYFUNCTION("GOOGLEFINANCE(D8)"),111.4)</f>
        <v>111.4</v>
      </c>
      <c r="K8" s="11">
        <f t="shared" si="3"/>
        <v>0</v>
      </c>
      <c r="L8" s="11">
        <f t="shared" si="4"/>
        <v>0</v>
      </c>
      <c r="M8" s="32" t="s">
        <v>58</v>
      </c>
      <c r="N8" s="15">
        <f t="shared" si="5"/>
        <v>842</v>
      </c>
      <c r="P8" s="11" t="s">
        <v>25</v>
      </c>
      <c r="Q8" s="11">
        <f>P3*20%</f>
        <v>2000000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26</v>
      </c>
      <c r="C9" s="10" t="s">
        <v>27</v>
      </c>
      <c r="D9" s="26" t="s">
        <v>28</v>
      </c>
      <c r="E9" s="24">
        <v>45240.0</v>
      </c>
      <c r="F9" s="21">
        <v>418.1</v>
      </c>
      <c r="G9" s="22">
        <v>3827.0</v>
      </c>
      <c r="H9" s="16">
        <f t="shared" si="1"/>
        <v>1600068.7</v>
      </c>
      <c r="I9" s="17">
        <f t="shared" si="2"/>
        <v>0.16000687</v>
      </c>
      <c r="J9" s="11">
        <f>IFERROR(__xludf.DUMMYFUNCTION("GOOGLEFINANCE(D9)"),518.75)</f>
        <v>518.75</v>
      </c>
      <c r="K9" s="11">
        <f t="shared" si="3"/>
        <v>1985256.25</v>
      </c>
      <c r="L9" s="11">
        <f t="shared" si="4"/>
        <v>385187.55</v>
      </c>
      <c r="M9" s="18">
        <f>(K9-H9)/H9</f>
        <v>0.2407318823</v>
      </c>
      <c r="N9" s="15">
        <f t="shared" si="5"/>
        <v>827</v>
      </c>
      <c r="P9" s="10" t="s">
        <v>29</v>
      </c>
      <c r="Q9" s="11">
        <f>P3*20%</f>
        <v>2000000</v>
      </c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7" t="s">
        <v>30</v>
      </c>
      <c r="C10" s="1"/>
      <c r="D10" s="1"/>
      <c r="E10" s="6" t="s">
        <v>3</v>
      </c>
      <c r="F10" s="6" t="s">
        <v>4</v>
      </c>
      <c r="G10" s="8" t="s">
        <v>31</v>
      </c>
      <c r="H10" s="28" t="s">
        <v>6</v>
      </c>
      <c r="I10" s="17"/>
      <c r="J10" s="28" t="s">
        <v>32</v>
      </c>
      <c r="K10" s="11"/>
      <c r="L10" s="11"/>
      <c r="M10" s="18"/>
      <c r="N10" s="15"/>
      <c r="O10" s="1"/>
      <c r="P10" s="1"/>
      <c r="Q10" s="4">
        <f>SUM(Q5:Q9)</f>
        <v>10000000</v>
      </c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9" t="s">
        <v>33</v>
      </c>
      <c r="C11" s="1"/>
      <c r="D11" s="1"/>
      <c r="E11" s="14">
        <v>45210.0</v>
      </c>
      <c r="F11" s="10">
        <v>1937.7</v>
      </c>
      <c r="G11" s="22">
        <v>464.0</v>
      </c>
      <c r="H11" s="11">
        <f t="shared" ref="H11:H12" si="6">G11*F11</f>
        <v>899092.8</v>
      </c>
      <c r="I11" s="17">
        <f t="shared" ref="I11:I12" si="7">H11/10000000</f>
        <v>0.08990928</v>
      </c>
      <c r="J11" s="30">
        <v>2178.0</v>
      </c>
      <c r="K11" s="11">
        <f t="shared" ref="K11:K12" si="8">J11*G11</f>
        <v>1010592</v>
      </c>
      <c r="L11" s="11">
        <f t="shared" ref="L11:L12" si="9">K11-H11</f>
        <v>111499.2</v>
      </c>
      <c r="M11" s="18">
        <f t="shared" ref="M11:M12" si="10">(K11-H11)/H11</f>
        <v>0.1240130051</v>
      </c>
      <c r="N11" s="15">
        <f t="shared" ref="N11:N12" si="11">TODAY()-E11</f>
        <v>857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9" t="s">
        <v>34</v>
      </c>
      <c r="C12" s="1"/>
      <c r="D12" s="1"/>
      <c r="E12" s="14">
        <v>45256.0</v>
      </c>
      <c r="F12" s="10">
        <v>3.5845</v>
      </c>
      <c r="G12" s="22">
        <v>27898.0</v>
      </c>
      <c r="H12" s="11">
        <f t="shared" si="6"/>
        <v>100000.381</v>
      </c>
      <c r="I12" s="17">
        <f t="shared" si="7"/>
        <v>0.0100000381</v>
      </c>
      <c r="J12" s="10">
        <v>4.0072</v>
      </c>
      <c r="K12" s="11">
        <f t="shared" si="8"/>
        <v>111792.8656</v>
      </c>
      <c r="L12" s="11">
        <f t="shared" si="9"/>
        <v>11792.4846</v>
      </c>
      <c r="M12" s="18">
        <f t="shared" si="10"/>
        <v>0.1179243967</v>
      </c>
      <c r="N12" s="15">
        <f t="shared" si="11"/>
        <v>811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31" t="s">
        <v>35</v>
      </c>
      <c r="C13" s="32" t="s">
        <v>36</v>
      </c>
      <c r="D13" s="1"/>
      <c r="E13" s="33" t="s">
        <v>3</v>
      </c>
      <c r="F13" s="9" t="s">
        <v>37</v>
      </c>
      <c r="G13" s="34" t="s">
        <v>38</v>
      </c>
      <c r="H13" s="28" t="s">
        <v>6</v>
      </c>
      <c r="I13" s="17"/>
      <c r="J13" s="35" t="s">
        <v>39</v>
      </c>
      <c r="K13" s="11"/>
      <c r="L13" s="11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6" t="s">
        <v>40</v>
      </c>
      <c r="C14" s="37" t="s">
        <v>41</v>
      </c>
      <c r="D14" s="1"/>
      <c r="E14" s="14">
        <v>45225.0</v>
      </c>
      <c r="F14" s="38">
        <v>60.82</v>
      </c>
      <c r="G14" s="39">
        <v>3288.3919763235776</v>
      </c>
      <c r="H14" s="11">
        <f t="shared" ref="H14:H16" si="12">G14*F14</f>
        <v>200000</v>
      </c>
      <c r="I14" s="17">
        <f t="shared" ref="I14:I16" si="13">H14/10000000</f>
        <v>0.02</v>
      </c>
      <c r="J14" s="11">
        <f>IFERROR(__xludf.DUMMYFUNCTION("GOOGLEFINANCE(C14)"),92.47)</f>
        <v>92.47</v>
      </c>
      <c r="K14" s="11">
        <f t="shared" ref="K14:K16" si="14">J14*G14</f>
        <v>304077.6061</v>
      </c>
      <c r="L14" s="11">
        <f t="shared" ref="L14:L16" si="15">K14-H14</f>
        <v>104077.6061</v>
      </c>
      <c r="M14" s="18">
        <f t="shared" ref="M14:M16" si="16">(K14-H14)/H14</f>
        <v>0.5203880303</v>
      </c>
      <c r="N14" s="10">
        <f t="shared" ref="N14:N16" si="17">TODAY()-E14</f>
        <v>842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9" t="s">
        <v>42</v>
      </c>
      <c r="C15" s="40" t="s">
        <v>43</v>
      </c>
      <c r="D15" s="1"/>
      <c r="E15" s="41">
        <v>45225.0</v>
      </c>
      <c r="F15" s="38">
        <v>34.44</v>
      </c>
      <c r="G15" s="39">
        <v>11614.401858304298</v>
      </c>
      <c r="H15" s="11">
        <f t="shared" si="12"/>
        <v>400000</v>
      </c>
      <c r="I15" s="17">
        <f t="shared" si="13"/>
        <v>0.04</v>
      </c>
      <c r="J15" s="11">
        <f>IFERROR(__xludf.DUMMYFUNCTION("GOOGLEFINANCE(C15)"),48.85)</f>
        <v>48.85</v>
      </c>
      <c r="K15" s="11">
        <f t="shared" si="14"/>
        <v>567363.5308</v>
      </c>
      <c r="L15" s="11">
        <f t="shared" si="15"/>
        <v>167363.5308</v>
      </c>
      <c r="M15" s="18">
        <f t="shared" si="16"/>
        <v>0.4184088269</v>
      </c>
      <c r="N15" s="10">
        <f t="shared" si="17"/>
        <v>842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2" t="s">
        <v>44</v>
      </c>
      <c r="C16" s="37" t="s">
        <v>45</v>
      </c>
      <c r="D16" s="1"/>
      <c r="E16" s="41">
        <v>45225.0</v>
      </c>
      <c r="F16" s="38">
        <v>924.62</v>
      </c>
      <c r="G16" s="32">
        <v>1514.0</v>
      </c>
      <c r="H16" s="11">
        <f t="shared" si="12"/>
        <v>1399874.68</v>
      </c>
      <c r="I16" s="17">
        <f t="shared" si="13"/>
        <v>0.139987468</v>
      </c>
      <c r="J16" s="11">
        <f>IFERROR(__xludf.DUMMYFUNCTION("GOOGLEFINANCE(C16)"),1438.23)</f>
        <v>1438.23</v>
      </c>
      <c r="K16" s="11">
        <f t="shared" si="14"/>
        <v>2177480.22</v>
      </c>
      <c r="L16" s="11">
        <f t="shared" si="15"/>
        <v>777605.54</v>
      </c>
      <c r="M16" s="18">
        <f t="shared" si="16"/>
        <v>0.5554822522</v>
      </c>
      <c r="N16" s="10">
        <f t="shared" si="17"/>
        <v>842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3" t="s">
        <v>46</v>
      </c>
      <c r="C17" s="1"/>
      <c r="D17" s="1"/>
      <c r="E17" s="14"/>
      <c r="F17" s="10"/>
      <c r="G17" s="10"/>
      <c r="H17" s="11"/>
      <c r="I17" s="17"/>
      <c r="J17" s="32" t="s">
        <v>47</v>
      </c>
      <c r="K17" s="11"/>
      <c r="L17" s="11"/>
      <c r="M17" s="18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 t="s">
        <v>48</v>
      </c>
      <c r="C18" s="1"/>
      <c r="D18" s="1"/>
      <c r="E18" s="45">
        <v>45226.0</v>
      </c>
      <c r="F18" s="32">
        <v>2.23</v>
      </c>
      <c r="G18" s="46">
        <v>672645.0</v>
      </c>
      <c r="H18" s="10">
        <f t="shared" ref="H18:H19" si="18">G18*F18</f>
        <v>1499998.35</v>
      </c>
      <c r="I18" s="17">
        <f t="shared" ref="I18:I19" si="19">H18/10000000</f>
        <v>0.149999835</v>
      </c>
      <c r="J18" s="47">
        <v>2.66</v>
      </c>
      <c r="K18" s="11">
        <f t="shared" ref="K18:K19" si="20">J18*G18</f>
        <v>1789235.7</v>
      </c>
      <c r="L18" s="11">
        <f t="shared" ref="L18:L19" si="21">K18-H18</f>
        <v>289237.35</v>
      </c>
      <c r="M18" s="18">
        <f t="shared" ref="M18:M19" si="22">(K18-H18)/H18</f>
        <v>0.1928251121</v>
      </c>
      <c r="N18" s="10">
        <f t="shared" ref="N18:N19" si="23">TODAY()-E18</f>
        <v>841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8" t="s">
        <v>49</v>
      </c>
      <c r="C19" s="1"/>
      <c r="D19" s="1"/>
      <c r="E19" s="41">
        <v>45225.0</v>
      </c>
      <c r="F19" s="32">
        <v>298.35</v>
      </c>
      <c r="G19" s="46">
        <v>5027.0</v>
      </c>
      <c r="H19" s="10">
        <f t="shared" si="18"/>
        <v>1499805.45</v>
      </c>
      <c r="I19" s="17">
        <f t="shared" si="19"/>
        <v>0.149980545</v>
      </c>
      <c r="J19" s="32">
        <v>375.94</v>
      </c>
      <c r="K19" s="11">
        <f t="shared" si="20"/>
        <v>1889850.38</v>
      </c>
      <c r="L19" s="11">
        <f t="shared" si="21"/>
        <v>390044.93</v>
      </c>
      <c r="M19" s="18">
        <f t="shared" si="22"/>
        <v>0.2600636836</v>
      </c>
      <c r="N19" s="10">
        <f t="shared" si="23"/>
        <v>842</v>
      </c>
      <c r="O19" s="1"/>
      <c r="P19" s="1"/>
      <c r="Q19" s="82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9"/>
      <c r="C20" s="1"/>
      <c r="D20" s="1"/>
      <c r="E20" s="14"/>
      <c r="F20" s="1"/>
      <c r="G20" s="1"/>
      <c r="H20" s="4"/>
      <c r="J20" s="1"/>
      <c r="K20" s="1"/>
      <c r="L20" s="1"/>
      <c r="M20" s="50"/>
      <c r="N20" s="1"/>
      <c r="O20" s="1"/>
      <c r="P20" s="1"/>
      <c r="Q20" s="82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"/>
      <c r="D21" s="1"/>
      <c r="E21" s="1"/>
      <c r="F21" s="1"/>
      <c r="G21" s="1"/>
      <c r="H21" s="1"/>
      <c r="I21" s="1"/>
      <c r="J21" s="1"/>
      <c r="K21" s="1"/>
      <c r="L21" s="50"/>
      <c r="M21" s="1"/>
      <c r="N21" s="1"/>
      <c r="O21" s="1"/>
      <c r="P21" s="1"/>
      <c r="Q21" s="82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  <c r="M22" s="1"/>
      <c r="N22" s="1"/>
      <c r="O22" s="1"/>
      <c r="P22" s="1"/>
      <c r="Q22" s="82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2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4"/>
      <c r="B24" s="66"/>
      <c r="C24" s="55"/>
      <c r="D24" s="55" t="s">
        <v>14</v>
      </c>
      <c r="E24" s="55" t="s">
        <v>18</v>
      </c>
      <c r="F24" s="55" t="s">
        <v>22</v>
      </c>
      <c r="G24" s="55" t="s">
        <v>26</v>
      </c>
      <c r="H24" s="34" t="s">
        <v>33</v>
      </c>
      <c r="I24" s="34" t="s">
        <v>34</v>
      </c>
      <c r="J24" s="56" t="s">
        <v>40</v>
      </c>
      <c r="K24" s="8" t="s">
        <v>42</v>
      </c>
      <c r="L24" s="8" t="s">
        <v>44</v>
      </c>
      <c r="M24" s="8" t="s">
        <v>48</v>
      </c>
      <c r="N24" s="8" t="s">
        <v>49</v>
      </c>
      <c r="O24" s="54"/>
      <c r="P24" s="54"/>
      <c r="Q24" s="82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1"/>
      <c r="B25" s="64"/>
      <c r="C25" s="57" t="s">
        <v>50</v>
      </c>
      <c r="D25" s="17">
        <v>0.03998818</v>
      </c>
      <c r="E25" s="17">
        <v>0.0</v>
      </c>
      <c r="F25" s="17">
        <v>0.0</v>
      </c>
      <c r="G25" s="17">
        <v>0.16000687000000002</v>
      </c>
      <c r="H25" s="17">
        <v>0.08990928000000001</v>
      </c>
      <c r="I25" s="17">
        <v>0.010000038099999999</v>
      </c>
      <c r="J25" s="17">
        <v>0.02</v>
      </c>
      <c r="K25" s="17">
        <v>0.04</v>
      </c>
      <c r="L25" s="17">
        <v>0.139987468</v>
      </c>
      <c r="M25" s="17">
        <v>0.149999835</v>
      </c>
      <c r="N25" s="17">
        <v>0.14998054500000002</v>
      </c>
      <c r="Q25" s="82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4"/>
      <c r="C26" s="57" t="s">
        <v>51</v>
      </c>
      <c r="D26" s="58">
        <v>0.006960083609574639</v>
      </c>
      <c r="E26" s="58">
        <v>0.009681346687503586</v>
      </c>
      <c r="F26" s="58">
        <v>0.00827254124278402</v>
      </c>
      <c r="G26" s="58">
        <v>0.0037545720405905213</v>
      </c>
      <c r="H26" s="59">
        <v>8.830051961559462E-4</v>
      </c>
      <c r="I26" s="59">
        <v>0.001059999541509069</v>
      </c>
      <c r="J26" s="59">
        <v>0.0025111481760603273</v>
      </c>
      <c r="K26" s="58">
        <v>0.0026535249752381146</v>
      </c>
      <c r="L26" s="58">
        <v>0.0021918870597135254</v>
      </c>
      <c r="M26" s="58">
        <v>0.0016319259177029056</v>
      </c>
      <c r="N26" s="59">
        <v>0.0023550407626106505</v>
      </c>
      <c r="O26" s="1"/>
      <c r="P26" s="1"/>
      <c r="Q26" s="83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4"/>
      <c r="C27" s="60"/>
      <c r="D27" s="60"/>
      <c r="E27" s="60"/>
      <c r="F27" s="60"/>
      <c r="G27" s="60"/>
      <c r="H27" s="36"/>
      <c r="I27" s="36"/>
      <c r="J27" s="36"/>
      <c r="K27" s="36"/>
      <c r="L27" s="61"/>
      <c r="M27" s="60"/>
      <c r="N27" s="60"/>
      <c r="O27" s="1"/>
      <c r="P27" s="1"/>
      <c r="Q27" s="84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4"/>
      <c r="C28" s="62" t="s">
        <v>52</v>
      </c>
      <c r="D28" s="63">
        <f>SUMPRODUCT(D25:N25,D26:N26)*100</f>
        <v>0.2030268391</v>
      </c>
      <c r="E28" s="64"/>
      <c r="F28" s="64"/>
      <c r="G28" s="64"/>
      <c r="H28" s="1"/>
      <c r="I28" s="1"/>
      <c r="J28" s="1"/>
      <c r="K28" s="1"/>
      <c r="L28" s="65"/>
      <c r="M28" s="64"/>
      <c r="N28" s="6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4"/>
      <c r="C29" s="64"/>
      <c r="D29" s="65"/>
      <c r="E29" s="64"/>
      <c r="F29" s="64"/>
      <c r="G29" s="64"/>
      <c r="H29" s="1"/>
      <c r="I29" s="1"/>
      <c r="J29" s="1"/>
      <c r="K29" s="1"/>
      <c r="L29" s="65"/>
      <c r="M29" s="6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9"/>
      <c r="C30" s="67" t="s">
        <v>53</v>
      </c>
      <c r="D30" s="68">
        <f t="shared" ref="D30:N30" si="24">D26*12</f>
        <v>0.08352100331</v>
      </c>
      <c r="E30" s="68">
        <f t="shared" si="24"/>
        <v>0.1161761603</v>
      </c>
      <c r="F30" s="68">
        <f t="shared" si="24"/>
        <v>0.09927049491</v>
      </c>
      <c r="G30" s="68">
        <f t="shared" si="24"/>
        <v>0.04505486449</v>
      </c>
      <c r="H30" s="68">
        <f t="shared" si="24"/>
        <v>0.01059606235</v>
      </c>
      <c r="I30" s="68">
        <f t="shared" si="24"/>
        <v>0.0127199945</v>
      </c>
      <c r="J30" s="68">
        <f t="shared" si="24"/>
        <v>0.03013377811</v>
      </c>
      <c r="K30" s="68">
        <f t="shared" si="24"/>
        <v>0.0318422997</v>
      </c>
      <c r="L30" s="68">
        <f t="shared" si="24"/>
        <v>0.02630264472</v>
      </c>
      <c r="M30" s="68">
        <f t="shared" si="24"/>
        <v>0.01958311101</v>
      </c>
      <c r="N30" s="68">
        <f t="shared" si="24"/>
        <v>0.02826048915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9" t="s">
        <v>54</v>
      </c>
      <c r="D31" s="70">
        <v>0.0272</v>
      </c>
      <c r="E31" s="70">
        <v>0.0447</v>
      </c>
      <c r="F31" s="71">
        <v>0.0451</v>
      </c>
      <c r="G31" s="70">
        <v>0.021</v>
      </c>
      <c r="H31" s="71">
        <v>0.0077</v>
      </c>
      <c r="I31" s="72">
        <v>0.0106</v>
      </c>
      <c r="J31" s="71">
        <v>0.0092</v>
      </c>
      <c r="K31" s="71">
        <v>0.0082</v>
      </c>
      <c r="L31" s="71">
        <v>0.0068</v>
      </c>
      <c r="M31" s="71">
        <v>0.0157</v>
      </c>
      <c r="N31" s="73">
        <v>0.0162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9" t="s">
        <v>55</v>
      </c>
      <c r="D32" s="74">
        <f t="shared" ref="D32:N32" si="25">D31*D31</f>
        <v>0.00073984</v>
      </c>
      <c r="E32" s="74">
        <f t="shared" si="25"/>
        <v>0.00199809</v>
      </c>
      <c r="F32" s="74">
        <f t="shared" si="25"/>
        <v>0.00203401</v>
      </c>
      <c r="G32" s="74">
        <f t="shared" si="25"/>
        <v>0.000441</v>
      </c>
      <c r="H32" s="74">
        <f t="shared" si="25"/>
        <v>0.00005929</v>
      </c>
      <c r="I32" s="74">
        <f t="shared" si="25"/>
        <v>0.00011236</v>
      </c>
      <c r="J32" s="74">
        <f t="shared" si="25"/>
        <v>0.00008464</v>
      </c>
      <c r="K32" s="74">
        <f t="shared" si="25"/>
        <v>0.00006724</v>
      </c>
      <c r="L32" s="74">
        <f t="shared" si="25"/>
        <v>0.00004624</v>
      </c>
      <c r="M32" s="74">
        <f t="shared" si="25"/>
        <v>0.00024649</v>
      </c>
      <c r="N32" s="74">
        <f t="shared" si="25"/>
        <v>0.00026244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9" t="s">
        <v>56</v>
      </c>
      <c r="D33" s="74">
        <f t="shared" ref="D33:N33" si="26">D32*12</f>
        <v>0.00887808</v>
      </c>
      <c r="E33" s="74">
        <f t="shared" si="26"/>
        <v>0.02397708</v>
      </c>
      <c r="F33" s="74">
        <f t="shared" si="26"/>
        <v>0.02440812</v>
      </c>
      <c r="G33" s="74">
        <f t="shared" si="26"/>
        <v>0.005292</v>
      </c>
      <c r="H33" s="74">
        <f t="shared" si="26"/>
        <v>0.00071148</v>
      </c>
      <c r="I33" s="74">
        <f t="shared" si="26"/>
        <v>0.00134832</v>
      </c>
      <c r="J33" s="74">
        <f t="shared" si="26"/>
        <v>0.00101568</v>
      </c>
      <c r="K33" s="74">
        <f t="shared" si="26"/>
        <v>0.00080688</v>
      </c>
      <c r="L33" s="74">
        <f t="shared" si="26"/>
        <v>0.00055488</v>
      </c>
      <c r="M33" s="74">
        <f t="shared" si="26"/>
        <v>0.00295788</v>
      </c>
      <c r="N33" s="74">
        <f t="shared" si="26"/>
        <v>0.00314928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75" t="s">
        <v>57</v>
      </c>
      <c r="D34" s="74">
        <f t="shared" ref="D34:N34" si="27">SQRT(D33)</f>
        <v>0.09422356393</v>
      </c>
      <c r="E34" s="74">
        <f t="shared" si="27"/>
        <v>0.1548453422</v>
      </c>
      <c r="F34" s="74">
        <f t="shared" si="27"/>
        <v>0.1562309828</v>
      </c>
      <c r="G34" s="74">
        <f t="shared" si="27"/>
        <v>0.07274613392</v>
      </c>
      <c r="H34" s="74">
        <f t="shared" si="27"/>
        <v>0.02667358244</v>
      </c>
      <c r="I34" s="74">
        <f t="shared" si="27"/>
        <v>0.03671947712</v>
      </c>
      <c r="J34" s="74">
        <f t="shared" si="27"/>
        <v>0.03186973486</v>
      </c>
      <c r="K34" s="74">
        <f t="shared" si="27"/>
        <v>0.02840563324</v>
      </c>
      <c r="L34" s="74">
        <f t="shared" si="27"/>
        <v>0.02355589098</v>
      </c>
      <c r="M34" s="74">
        <f t="shared" si="27"/>
        <v>0.05438639536</v>
      </c>
      <c r="N34" s="74">
        <f t="shared" si="27"/>
        <v>0.05611844617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8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8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8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8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8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8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8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8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8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8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23.0"/>
    <col customWidth="1" min="3" max="4" width="10.56"/>
    <col customWidth="1" hidden="1" min="5" max="5" width="10.56"/>
    <col customWidth="1" min="6" max="6" width="10.56"/>
    <col customWidth="1" hidden="1" min="7" max="8" width="10.56"/>
    <col customWidth="1" hidden="1" min="9" max="9" width="10.78"/>
    <col customWidth="1" min="10" max="26" width="10.56"/>
  </cols>
  <sheetData>
    <row r="1" ht="15.75" customHeight="1"/>
    <row r="2" ht="15.75" customHeight="1"/>
    <row r="3" ht="15.75" customHeight="1">
      <c r="B3" s="1"/>
      <c r="C3" s="1"/>
      <c r="D3" s="1"/>
      <c r="E3" s="1"/>
      <c r="F3" s="1"/>
      <c r="H3" s="85" t="s">
        <v>59</v>
      </c>
      <c r="I3" s="85" t="s">
        <v>60</v>
      </c>
    </row>
    <row r="4" ht="15.75" customHeight="1">
      <c r="B4" s="1" t="s">
        <v>61</v>
      </c>
      <c r="C4" s="1" t="s">
        <v>62</v>
      </c>
      <c r="D4" s="1" t="s">
        <v>51</v>
      </c>
      <c r="E4" s="1">
        <f t="shared" ref="E4:E105" si="1">E5+1</f>
        <v>103</v>
      </c>
      <c r="F4" s="1"/>
      <c r="G4" s="85">
        <v>1.0</v>
      </c>
      <c r="H4" s="86" t="s">
        <v>63</v>
      </c>
      <c r="I4" s="86">
        <v>167.45</v>
      </c>
    </row>
    <row r="5" ht="15.75" customHeight="1">
      <c r="B5" s="1" t="str">
        <f t="shared" ref="B5:B15" si="2">VLOOKUP(E4,$G$4:$H$106,2)</f>
        <v>Oct 26, 2023</v>
      </c>
      <c r="C5" s="87">
        <f t="shared" ref="C5:C15" si="3">VLOOKUP(E4,$G$4:$I$106,3)</f>
        <v>86.2</v>
      </c>
      <c r="D5" s="1" t="s">
        <v>64</v>
      </c>
      <c r="E5" s="1">
        <f t="shared" si="1"/>
        <v>102</v>
      </c>
      <c r="F5" s="1"/>
      <c r="G5" s="85">
        <f t="shared" ref="G5:G106" si="4">1+G4</f>
        <v>2</v>
      </c>
      <c r="H5" s="86" t="s">
        <v>65</v>
      </c>
      <c r="I5" s="86">
        <v>165.15</v>
      </c>
      <c r="J5" s="88" t="s">
        <v>51</v>
      </c>
      <c r="K5" s="80">
        <f>AVERAGE(D6:D106)</f>
        <v>0.00696008361</v>
      </c>
    </row>
    <row r="6" ht="15.75" customHeight="1">
      <c r="B6" s="1" t="str">
        <f t="shared" si="2"/>
        <v>Oct 27, 2023</v>
      </c>
      <c r="C6" s="1">
        <f t="shared" si="3"/>
        <v>86.9</v>
      </c>
      <c r="D6" s="3">
        <f t="shared" ref="D6:D106" si="5">C6/C5-1</f>
        <v>0.008120649652</v>
      </c>
      <c r="E6" s="1">
        <f t="shared" si="1"/>
        <v>101</v>
      </c>
      <c r="F6" s="1"/>
      <c r="G6" s="85">
        <f t="shared" si="4"/>
        <v>3</v>
      </c>
      <c r="H6" s="86" t="s">
        <v>66</v>
      </c>
      <c r="I6" s="86">
        <v>164.5</v>
      </c>
      <c r="J6" s="89" t="s">
        <v>67</v>
      </c>
      <c r="K6" s="90">
        <f>STDEV(D6:D106)</f>
        <v>0.02717473426</v>
      </c>
    </row>
    <row r="7" ht="15.75" customHeight="1">
      <c r="B7" s="1" t="str">
        <f t="shared" si="2"/>
        <v>Oct 30, 2023</v>
      </c>
      <c r="C7" s="1">
        <f t="shared" si="3"/>
        <v>88.25</v>
      </c>
      <c r="D7" s="3">
        <f t="shared" si="5"/>
        <v>0.01553509781</v>
      </c>
      <c r="E7" s="1">
        <f t="shared" si="1"/>
        <v>100</v>
      </c>
      <c r="F7" s="1"/>
      <c r="G7" s="85">
        <f t="shared" si="4"/>
        <v>4</v>
      </c>
      <c r="H7" s="86" t="s">
        <v>68</v>
      </c>
      <c r="I7" s="86">
        <v>158.25</v>
      </c>
      <c r="J7" s="90"/>
    </row>
    <row r="8" ht="15.75" customHeight="1">
      <c r="B8" s="1" t="str">
        <f t="shared" si="2"/>
        <v>Oct 31, 2023</v>
      </c>
      <c r="C8" s="1">
        <f t="shared" si="3"/>
        <v>89.7</v>
      </c>
      <c r="D8" s="3">
        <f t="shared" si="5"/>
        <v>0.0164305949</v>
      </c>
      <c r="E8" s="1">
        <f t="shared" si="1"/>
        <v>99</v>
      </c>
      <c r="F8" s="1"/>
      <c r="G8" s="85">
        <f t="shared" si="4"/>
        <v>5</v>
      </c>
      <c r="H8" s="86" t="s">
        <v>69</v>
      </c>
      <c r="I8" s="86">
        <v>155.25</v>
      </c>
    </row>
    <row r="9" ht="15.75" customHeight="1">
      <c r="B9" s="1" t="str">
        <f t="shared" si="2"/>
        <v>Nov 01, 2023</v>
      </c>
      <c r="C9" s="1">
        <f t="shared" si="3"/>
        <v>92.45</v>
      </c>
      <c r="D9" s="3">
        <f t="shared" si="5"/>
        <v>0.03065774805</v>
      </c>
      <c r="E9" s="1">
        <f t="shared" si="1"/>
        <v>98</v>
      </c>
      <c r="F9" s="1"/>
      <c r="G9" s="85">
        <f t="shared" si="4"/>
        <v>6</v>
      </c>
      <c r="H9" s="86" t="s">
        <v>70</v>
      </c>
      <c r="I9" s="86">
        <v>160.8</v>
      </c>
    </row>
    <row r="10" ht="15.75" customHeight="1">
      <c r="B10" s="1" t="str">
        <f t="shared" si="2"/>
        <v>Nov 02, 2023</v>
      </c>
      <c r="C10" s="1">
        <f t="shared" si="3"/>
        <v>95.05</v>
      </c>
      <c r="D10" s="3">
        <f t="shared" si="5"/>
        <v>0.0281233099</v>
      </c>
      <c r="E10" s="1">
        <f t="shared" si="1"/>
        <v>97</v>
      </c>
      <c r="F10" s="1"/>
      <c r="G10" s="85">
        <f t="shared" si="4"/>
        <v>7</v>
      </c>
      <c r="H10" s="86" t="s">
        <v>71</v>
      </c>
      <c r="I10" s="86">
        <v>161.0</v>
      </c>
    </row>
    <row r="11" ht="15.75" customHeight="1">
      <c r="B11" s="1" t="str">
        <f t="shared" si="2"/>
        <v>Nov 03, 2023</v>
      </c>
      <c r="C11" s="1">
        <f t="shared" si="3"/>
        <v>95.9</v>
      </c>
      <c r="D11" s="3">
        <f t="shared" si="5"/>
        <v>0.008942661757</v>
      </c>
      <c r="E11" s="1">
        <f t="shared" si="1"/>
        <v>96</v>
      </c>
      <c r="F11" s="1"/>
      <c r="G11" s="85">
        <f t="shared" si="4"/>
        <v>8</v>
      </c>
      <c r="H11" s="86" t="s">
        <v>72</v>
      </c>
      <c r="I11" s="86">
        <v>170.35</v>
      </c>
    </row>
    <row r="12" ht="15.75" customHeight="1">
      <c r="B12" s="1" t="str">
        <f t="shared" si="2"/>
        <v>Nov 06, 2023</v>
      </c>
      <c r="C12" s="1">
        <f t="shared" si="3"/>
        <v>99</v>
      </c>
      <c r="D12" s="3">
        <f t="shared" si="5"/>
        <v>0.03232533889</v>
      </c>
      <c r="E12" s="1">
        <f t="shared" si="1"/>
        <v>95</v>
      </c>
      <c r="F12" s="1"/>
      <c r="G12" s="85">
        <f t="shared" si="4"/>
        <v>9</v>
      </c>
      <c r="H12" s="86" t="s">
        <v>73</v>
      </c>
      <c r="I12" s="86">
        <v>163.35</v>
      </c>
    </row>
    <row r="13" ht="15.75" customHeight="1">
      <c r="B13" s="1" t="str">
        <f t="shared" si="2"/>
        <v>Nov 07, 2023</v>
      </c>
      <c r="C13" s="1">
        <f t="shared" si="3"/>
        <v>104.05</v>
      </c>
      <c r="D13" s="3">
        <f t="shared" si="5"/>
        <v>0.05101010101</v>
      </c>
      <c r="E13" s="1">
        <f t="shared" si="1"/>
        <v>94</v>
      </c>
      <c r="F13" s="1"/>
      <c r="G13" s="85">
        <f t="shared" si="4"/>
        <v>10</v>
      </c>
      <c r="H13" s="86" t="s">
        <v>74</v>
      </c>
      <c r="I13" s="86">
        <v>172.9</v>
      </c>
    </row>
    <row r="14" ht="15.75" customHeight="1">
      <c r="B14" s="1" t="str">
        <f t="shared" si="2"/>
        <v>Nov 08, 2023</v>
      </c>
      <c r="C14" s="1">
        <f t="shared" si="3"/>
        <v>103.45</v>
      </c>
      <c r="D14" s="3">
        <f t="shared" si="5"/>
        <v>-0.005766458433</v>
      </c>
      <c r="E14" s="1">
        <f t="shared" si="1"/>
        <v>93</v>
      </c>
      <c r="F14" s="1"/>
      <c r="G14" s="85">
        <f t="shared" si="4"/>
        <v>11</v>
      </c>
      <c r="H14" s="86" t="s">
        <v>75</v>
      </c>
      <c r="I14" s="86">
        <v>174.25</v>
      </c>
    </row>
    <row r="15" ht="15.75" customHeight="1">
      <c r="B15" s="1" t="str">
        <f t="shared" si="2"/>
        <v>Nov 09, 2023</v>
      </c>
      <c r="C15" s="1">
        <f t="shared" si="3"/>
        <v>102.95</v>
      </c>
      <c r="D15" s="3">
        <f t="shared" si="5"/>
        <v>-0.004833252779</v>
      </c>
      <c r="E15" s="1">
        <f t="shared" si="1"/>
        <v>92</v>
      </c>
      <c r="F15" s="1"/>
      <c r="G15" s="85">
        <f t="shared" si="4"/>
        <v>12</v>
      </c>
      <c r="H15" s="86" t="s">
        <v>76</v>
      </c>
      <c r="I15" s="86">
        <v>174.6</v>
      </c>
    </row>
    <row r="16" ht="15.75" customHeight="1">
      <c r="B16" s="1" t="str">
        <f t="shared" ref="B16:B106" si="6">VLOOKUP(E16,$G$4:$H$106,2)</f>
        <v>Nov 10, 2023</v>
      </c>
      <c r="C16" s="1">
        <f t="shared" ref="C16:C106" si="7">VLOOKUP(E16,$G$4:$I$106,3)</f>
        <v>98.05</v>
      </c>
      <c r="D16" s="3">
        <f t="shared" si="5"/>
        <v>-0.04759592035</v>
      </c>
      <c r="E16" s="1">
        <f t="shared" si="1"/>
        <v>91</v>
      </c>
      <c r="F16" s="1"/>
      <c r="G16" s="85">
        <f t="shared" si="4"/>
        <v>13</v>
      </c>
      <c r="H16" s="86" t="s">
        <v>77</v>
      </c>
      <c r="I16" s="86">
        <v>177.35</v>
      </c>
      <c r="K16" s="90"/>
    </row>
    <row r="17" ht="15.75" customHeight="1">
      <c r="B17" s="1" t="str">
        <f t="shared" si="6"/>
        <v>Nov 13, 2023</v>
      </c>
      <c r="C17" s="1">
        <f t="shared" si="7"/>
        <v>99</v>
      </c>
      <c r="D17" s="3">
        <f t="shared" si="5"/>
        <v>0.009688934217</v>
      </c>
      <c r="E17" s="1">
        <f t="shared" si="1"/>
        <v>90</v>
      </c>
      <c r="F17" s="1"/>
      <c r="G17" s="85">
        <f t="shared" si="4"/>
        <v>14</v>
      </c>
      <c r="H17" s="86" t="s">
        <v>78</v>
      </c>
      <c r="I17" s="86">
        <v>175.85</v>
      </c>
    </row>
    <row r="18" ht="15.75" customHeight="1">
      <c r="B18" s="1" t="str">
        <f t="shared" si="6"/>
        <v>Nov 15, 2023</v>
      </c>
      <c r="C18" s="1">
        <f t="shared" si="7"/>
        <v>101.7</v>
      </c>
      <c r="D18" s="3">
        <f t="shared" si="5"/>
        <v>0.02727272727</v>
      </c>
      <c r="E18" s="1">
        <f t="shared" si="1"/>
        <v>89</v>
      </c>
      <c r="F18" s="1"/>
      <c r="G18" s="85">
        <f t="shared" si="4"/>
        <v>15</v>
      </c>
      <c r="H18" s="86" t="s">
        <v>79</v>
      </c>
      <c r="I18" s="86">
        <v>175.25</v>
      </c>
    </row>
    <row r="19" ht="15.75" customHeight="1">
      <c r="B19" s="1" t="str">
        <f t="shared" si="6"/>
        <v>Nov 16, 2023</v>
      </c>
      <c r="C19" s="1">
        <f t="shared" si="7"/>
        <v>104.1</v>
      </c>
      <c r="D19" s="3">
        <f t="shared" si="5"/>
        <v>0.02359882006</v>
      </c>
      <c r="E19" s="1">
        <f t="shared" si="1"/>
        <v>88</v>
      </c>
      <c r="F19" s="1"/>
      <c r="G19" s="85">
        <f t="shared" si="4"/>
        <v>16</v>
      </c>
      <c r="H19" s="86" t="s">
        <v>80</v>
      </c>
      <c r="I19" s="86">
        <v>169.4</v>
      </c>
    </row>
    <row r="20" ht="15.75" customHeight="1">
      <c r="B20" s="1" t="str">
        <f t="shared" si="6"/>
        <v>Nov 17, 2023</v>
      </c>
      <c r="C20" s="1">
        <f t="shared" si="7"/>
        <v>102.7</v>
      </c>
      <c r="D20" s="3">
        <f t="shared" si="5"/>
        <v>-0.01344860711</v>
      </c>
      <c r="E20" s="1">
        <f t="shared" si="1"/>
        <v>87</v>
      </c>
      <c r="F20" s="1"/>
      <c r="G20" s="85">
        <f t="shared" si="4"/>
        <v>17</v>
      </c>
      <c r="H20" s="86" t="s">
        <v>81</v>
      </c>
      <c r="I20" s="86">
        <v>165.55</v>
      </c>
    </row>
    <row r="21" ht="15.75" customHeight="1">
      <c r="B21" s="1" t="str">
        <f t="shared" si="6"/>
        <v>Nov 20, 2023</v>
      </c>
      <c r="C21" s="1">
        <f t="shared" si="7"/>
        <v>102.85</v>
      </c>
      <c r="D21" s="3">
        <f t="shared" si="5"/>
        <v>0.001460564752</v>
      </c>
      <c r="E21" s="1">
        <f t="shared" si="1"/>
        <v>86</v>
      </c>
      <c r="F21" s="1"/>
      <c r="G21" s="85">
        <f t="shared" si="4"/>
        <v>18</v>
      </c>
      <c r="H21" s="86" t="s">
        <v>82</v>
      </c>
      <c r="I21" s="86">
        <v>167.4</v>
      </c>
    </row>
    <row r="22" ht="15.75" customHeight="1">
      <c r="B22" s="1" t="str">
        <f t="shared" si="6"/>
        <v>Nov 21, 2023</v>
      </c>
      <c r="C22" s="1">
        <f t="shared" si="7"/>
        <v>101.05</v>
      </c>
      <c r="D22" s="3">
        <f t="shared" si="5"/>
        <v>-0.01750121536</v>
      </c>
      <c r="E22" s="1">
        <f t="shared" si="1"/>
        <v>85</v>
      </c>
      <c r="F22" s="1"/>
      <c r="G22" s="85">
        <f t="shared" si="4"/>
        <v>19</v>
      </c>
      <c r="H22" s="86" t="s">
        <v>83</v>
      </c>
      <c r="I22" s="86">
        <v>173.25</v>
      </c>
    </row>
    <row r="23" ht="15.75" customHeight="1">
      <c r="B23" s="1" t="str">
        <f t="shared" si="6"/>
        <v>Nov 22, 2023</v>
      </c>
      <c r="C23" s="1">
        <f t="shared" si="7"/>
        <v>101.25</v>
      </c>
      <c r="D23" s="3">
        <f t="shared" si="5"/>
        <v>0.001979218209</v>
      </c>
      <c r="E23" s="1">
        <f t="shared" si="1"/>
        <v>84</v>
      </c>
      <c r="F23" s="1"/>
      <c r="G23" s="85">
        <f t="shared" si="4"/>
        <v>20</v>
      </c>
      <c r="H23" s="86" t="s">
        <v>84</v>
      </c>
      <c r="I23" s="86">
        <v>177.5</v>
      </c>
    </row>
    <row r="24" ht="15.75" customHeight="1">
      <c r="B24" s="1" t="str">
        <f t="shared" si="6"/>
        <v>Nov 23, 2023</v>
      </c>
      <c r="C24" s="1">
        <f t="shared" si="7"/>
        <v>103.8</v>
      </c>
      <c r="D24" s="3">
        <f t="shared" si="5"/>
        <v>0.02518518519</v>
      </c>
      <c r="E24" s="1">
        <f t="shared" si="1"/>
        <v>83</v>
      </c>
      <c r="F24" s="1"/>
      <c r="G24" s="85">
        <f t="shared" si="4"/>
        <v>21</v>
      </c>
      <c r="H24" s="86" t="s">
        <v>85</v>
      </c>
      <c r="I24" s="86">
        <v>175.85</v>
      </c>
    </row>
    <row r="25" ht="15.75" customHeight="1">
      <c r="B25" s="1" t="str">
        <f t="shared" si="6"/>
        <v>Nov 24, 2023</v>
      </c>
      <c r="C25" s="1">
        <f t="shared" si="7"/>
        <v>103.45</v>
      </c>
      <c r="D25" s="3">
        <f t="shared" si="5"/>
        <v>-0.003371868979</v>
      </c>
      <c r="E25" s="1">
        <f t="shared" si="1"/>
        <v>82</v>
      </c>
      <c r="F25" s="1"/>
      <c r="G25" s="85">
        <f t="shared" si="4"/>
        <v>22</v>
      </c>
      <c r="H25" s="86" t="s">
        <v>86</v>
      </c>
      <c r="I25" s="86">
        <v>179.7</v>
      </c>
    </row>
    <row r="26" ht="15.75" customHeight="1">
      <c r="B26" s="1" t="str">
        <f t="shared" si="6"/>
        <v>Nov 28, 2023</v>
      </c>
      <c r="C26" s="1">
        <f t="shared" si="7"/>
        <v>108.2</v>
      </c>
      <c r="D26" s="3">
        <f t="shared" si="5"/>
        <v>0.0459159014</v>
      </c>
      <c r="E26" s="1">
        <f t="shared" si="1"/>
        <v>81</v>
      </c>
      <c r="F26" s="1"/>
      <c r="G26" s="85">
        <f t="shared" si="4"/>
        <v>23</v>
      </c>
      <c r="H26" s="86" t="s">
        <v>87</v>
      </c>
      <c r="I26" s="86">
        <v>182.3</v>
      </c>
    </row>
    <row r="27" ht="15.75" customHeight="1">
      <c r="B27" s="1" t="str">
        <f t="shared" si="6"/>
        <v>Nov 29, 2023</v>
      </c>
      <c r="C27" s="1">
        <f t="shared" si="7"/>
        <v>108.55</v>
      </c>
      <c r="D27" s="3">
        <f t="shared" si="5"/>
        <v>0.003234750462</v>
      </c>
      <c r="E27" s="1">
        <f t="shared" si="1"/>
        <v>80</v>
      </c>
      <c r="F27" s="1"/>
      <c r="G27" s="85">
        <f t="shared" si="4"/>
        <v>24</v>
      </c>
      <c r="H27" s="86" t="s">
        <v>88</v>
      </c>
      <c r="I27" s="86">
        <v>188.75</v>
      </c>
    </row>
    <row r="28" ht="15.75" customHeight="1">
      <c r="B28" s="1" t="str">
        <f t="shared" si="6"/>
        <v>Nov 30, 2023</v>
      </c>
      <c r="C28" s="1">
        <f t="shared" si="7"/>
        <v>111.75</v>
      </c>
      <c r="D28" s="3">
        <f t="shared" si="5"/>
        <v>0.02947950253</v>
      </c>
      <c r="E28" s="1">
        <f t="shared" si="1"/>
        <v>79</v>
      </c>
      <c r="F28" s="1"/>
      <c r="G28" s="85">
        <f t="shared" si="4"/>
        <v>25</v>
      </c>
      <c r="H28" s="86" t="s">
        <v>89</v>
      </c>
      <c r="I28" s="86">
        <v>188.5</v>
      </c>
    </row>
    <row r="29" ht="15.75" customHeight="1">
      <c r="B29" s="1" t="str">
        <f t="shared" si="6"/>
        <v>Dec 01, 2023</v>
      </c>
      <c r="C29" s="1">
        <f t="shared" si="7"/>
        <v>111.25</v>
      </c>
      <c r="D29" s="3">
        <f t="shared" si="5"/>
        <v>-0.004474272931</v>
      </c>
      <c r="E29" s="1">
        <f t="shared" si="1"/>
        <v>78</v>
      </c>
      <c r="F29" s="1"/>
      <c r="G29" s="85">
        <f t="shared" si="4"/>
        <v>26</v>
      </c>
      <c r="H29" s="86" t="s">
        <v>90</v>
      </c>
      <c r="I29" s="86">
        <v>187.0</v>
      </c>
    </row>
    <row r="30" ht="15.75" customHeight="1">
      <c r="B30" s="1" t="str">
        <f t="shared" si="6"/>
        <v>Dec 04, 2023</v>
      </c>
      <c r="C30" s="1">
        <f t="shared" si="7"/>
        <v>115.9</v>
      </c>
      <c r="D30" s="3">
        <f t="shared" si="5"/>
        <v>0.04179775281</v>
      </c>
      <c r="E30" s="1">
        <f t="shared" si="1"/>
        <v>77</v>
      </c>
      <c r="F30" s="1"/>
      <c r="G30" s="85">
        <f t="shared" si="4"/>
        <v>27</v>
      </c>
      <c r="H30" s="86" t="s">
        <v>91</v>
      </c>
      <c r="I30" s="86">
        <v>189.85</v>
      </c>
    </row>
    <row r="31" ht="15.75" customHeight="1">
      <c r="B31" s="1" t="str">
        <f t="shared" si="6"/>
        <v>Dec 05, 2023</v>
      </c>
      <c r="C31" s="1">
        <f t="shared" si="7"/>
        <v>117.7</v>
      </c>
      <c r="D31" s="3">
        <f t="shared" si="5"/>
        <v>0.01553062985</v>
      </c>
      <c r="E31" s="1">
        <f t="shared" si="1"/>
        <v>76</v>
      </c>
      <c r="F31" s="1"/>
      <c r="G31" s="85">
        <f t="shared" si="4"/>
        <v>28</v>
      </c>
      <c r="H31" s="86" t="s">
        <v>92</v>
      </c>
      <c r="I31" s="86">
        <v>183.55</v>
      </c>
    </row>
    <row r="32" ht="15.75" customHeight="1">
      <c r="B32" s="1" t="str">
        <f t="shared" si="6"/>
        <v>Dec 06, 2023</v>
      </c>
      <c r="C32" s="1">
        <f t="shared" si="7"/>
        <v>119.3</v>
      </c>
      <c r="D32" s="3">
        <f t="shared" si="5"/>
        <v>0.01359388275</v>
      </c>
      <c r="E32" s="1">
        <f t="shared" si="1"/>
        <v>75</v>
      </c>
      <c r="F32" s="1"/>
      <c r="G32" s="85">
        <f t="shared" si="4"/>
        <v>29</v>
      </c>
      <c r="H32" s="86" t="s">
        <v>93</v>
      </c>
      <c r="I32" s="86">
        <v>174.45</v>
      </c>
    </row>
    <row r="33" ht="15.75" customHeight="1">
      <c r="B33" s="1" t="str">
        <f t="shared" si="6"/>
        <v>Dec 07, 2023</v>
      </c>
      <c r="C33" s="1">
        <f t="shared" si="7"/>
        <v>121.35</v>
      </c>
      <c r="D33" s="3">
        <f t="shared" si="5"/>
        <v>0.01718357083</v>
      </c>
      <c r="E33" s="1">
        <f t="shared" si="1"/>
        <v>74</v>
      </c>
      <c r="F33" s="1"/>
      <c r="G33" s="85">
        <f t="shared" si="4"/>
        <v>30</v>
      </c>
      <c r="H33" s="86" t="s">
        <v>94</v>
      </c>
      <c r="I33" s="86">
        <v>175.4</v>
      </c>
    </row>
    <row r="34" ht="15.75" customHeight="1">
      <c r="B34" s="1" t="str">
        <f t="shared" si="6"/>
        <v>Dec 08, 2023</v>
      </c>
      <c r="C34" s="1">
        <f t="shared" si="7"/>
        <v>118.8</v>
      </c>
      <c r="D34" s="3">
        <f t="shared" si="5"/>
        <v>-0.02101359703</v>
      </c>
      <c r="E34" s="1">
        <f t="shared" si="1"/>
        <v>73</v>
      </c>
      <c r="F34" s="1"/>
      <c r="G34" s="85">
        <f t="shared" si="4"/>
        <v>31</v>
      </c>
      <c r="H34" s="86" t="s">
        <v>95</v>
      </c>
      <c r="I34" s="86">
        <v>182.5</v>
      </c>
    </row>
    <row r="35" ht="15.75" customHeight="1">
      <c r="B35" s="1" t="str">
        <f t="shared" si="6"/>
        <v>Dec 11, 2023</v>
      </c>
      <c r="C35" s="1">
        <f t="shared" si="7"/>
        <v>117.5</v>
      </c>
      <c r="D35" s="3">
        <f t="shared" si="5"/>
        <v>-0.01094276094</v>
      </c>
      <c r="E35" s="1">
        <f t="shared" si="1"/>
        <v>72</v>
      </c>
      <c r="F35" s="1"/>
      <c r="G35" s="85">
        <f t="shared" si="4"/>
        <v>32</v>
      </c>
      <c r="H35" s="86" t="s">
        <v>96</v>
      </c>
      <c r="I35" s="86">
        <v>192.4</v>
      </c>
    </row>
    <row r="36" ht="15.75" customHeight="1">
      <c r="B36" s="1" t="str">
        <f t="shared" si="6"/>
        <v>Dec 12, 2023</v>
      </c>
      <c r="C36" s="1">
        <f t="shared" si="7"/>
        <v>117.55</v>
      </c>
      <c r="D36" s="3">
        <f t="shared" si="5"/>
        <v>0.0004255319149</v>
      </c>
      <c r="E36" s="1">
        <f t="shared" si="1"/>
        <v>71</v>
      </c>
      <c r="F36" s="1"/>
      <c r="G36" s="85">
        <f t="shared" si="4"/>
        <v>33</v>
      </c>
      <c r="H36" s="86" t="s">
        <v>97</v>
      </c>
      <c r="I36" s="86">
        <v>186.45</v>
      </c>
    </row>
    <row r="37" ht="15.75" customHeight="1">
      <c r="B37" s="1" t="str">
        <f t="shared" si="6"/>
        <v>Dec 13, 2023</v>
      </c>
      <c r="C37" s="1">
        <f t="shared" si="7"/>
        <v>119.65</v>
      </c>
      <c r="D37" s="3">
        <f t="shared" si="5"/>
        <v>0.01786473841</v>
      </c>
      <c r="E37" s="1">
        <f t="shared" si="1"/>
        <v>70</v>
      </c>
      <c r="F37" s="1"/>
      <c r="G37" s="85">
        <f t="shared" si="4"/>
        <v>34</v>
      </c>
      <c r="H37" s="86" t="s">
        <v>98</v>
      </c>
      <c r="I37" s="86">
        <v>184.5</v>
      </c>
    </row>
    <row r="38" ht="15.75" customHeight="1">
      <c r="B38" s="1" t="str">
        <f t="shared" si="6"/>
        <v>Dec 14, 2023</v>
      </c>
      <c r="C38" s="1">
        <f t="shared" si="7"/>
        <v>120.1</v>
      </c>
      <c r="D38" s="3">
        <f t="shared" si="5"/>
        <v>0.003760969494</v>
      </c>
      <c r="E38" s="1">
        <f t="shared" si="1"/>
        <v>69</v>
      </c>
      <c r="F38" s="1"/>
      <c r="G38" s="85">
        <f t="shared" si="4"/>
        <v>35</v>
      </c>
      <c r="H38" s="86" t="s">
        <v>99</v>
      </c>
      <c r="I38" s="86">
        <v>173.95</v>
      </c>
    </row>
    <row r="39" ht="15.75" customHeight="1">
      <c r="B39" s="1" t="str">
        <f t="shared" si="6"/>
        <v>Dec 15, 2023</v>
      </c>
      <c r="C39" s="1">
        <f t="shared" si="7"/>
        <v>123.8</v>
      </c>
      <c r="D39" s="3">
        <f t="shared" si="5"/>
        <v>0.03080766028</v>
      </c>
      <c r="E39" s="1">
        <f t="shared" si="1"/>
        <v>68</v>
      </c>
      <c r="F39" s="1"/>
      <c r="G39" s="85">
        <f t="shared" si="4"/>
        <v>36</v>
      </c>
      <c r="H39" s="86" t="s">
        <v>100</v>
      </c>
      <c r="I39" s="86">
        <v>162.9</v>
      </c>
    </row>
    <row r="40" ht="15.75" customHeight="1">
      <c r="B40" s="1" t="str">
        <f t="shared" si="6"/>
        <v>Dec 18, 2023</v>
      </c>
      <c r="C40" s="1">
        <f t="shared" si="7"/>
        <v>124.35</v>
      </c>
      <c r="D40" s="3">
        <f t="shared" si="5"/>
        <v>0.004442649435</v>
      </c>
      <c r="E40" s="1">
        <f t="shared" si="1"/>
        <v>67</v>
      </c>
      <c r="F40" s="1"/>
      <c r="G40" s="85">
        <f t="shared" si="4"/>
        <v>37</v>
      </c>
      <c r="H40" s="86" t="s">
        <v>101</v>
      </c>
      <c r="I40" s="86">
        <v>149.75</v>
      </c>
    </row>
    <row r="41" ht="15.75" customHeight="1">
      <c r="B41" s="1" t="str">
        <f t="shared" si="6"/>
        <v>Dec 19, 2023</v>
      </c>
      <c r="C41" s="1">
        <f t="shared" si="7"/>
        <v>124.7</v>
      </c>
      <c r="D41" s="3">
        <f t="shared" si="5"/>
        <v>0.002814636108</v>
      </c>
      <c r="E41" s="1">
        <f t="shared" si="1"/>
        <v>66</v>
      </c>
      <c r="F41" s="1"/>
      <c r="G41" s="85">
        <f t="shared" si="4"/>
        <v>38</v>
      </c>
      <c r="H41" s="86" t="s">
        <v>102</v>
      </c>
      <c r="I41" s="86">
        <v>146.95</v>
      </c>
    </row>
    <row r="42" ht="15.75" customHeight="1">
      <c r="B42" s="1" t="str">
        <f t="shared" si="6"/>
        <v>Dec 20, 2023</v>
      </c>
      <c r="C42" s="1">
        <f t="shared" si="7"/>
        <v>120.05</v>
      </c>
      <c r="D42" s="3">
        <f t="shared" si="5"/>
        <v>-0.03728949479</v>
      </c>
      <c r="E42" s="1">
        <f t="shared" si="1"/>
        <v>65</v>
      </c>
      <c r="F42" s="1"/>
      <c r="G42" s="85">
        <f t="shared" si="4"/>
        <v>39</v>
      </c>
      <c r="H42" s="86" t="s">
        <v>103</v>
      </c>
      <c r="I42" s="86">
        <v>147.7</v>
      </c>
    </row>
    <row r="43" ht="15.75" customHeight="1">
      <c r="B43" s="1" t="str">
        <f t="shared" si="6"/>
        <v>Dec 21, 2023</v>
      </c>
      <c r="C43" s="1">
        <f t="shared" si="7"/>
        <v>124.15</v>
      </c>
      <c r="D43" s="3">
        <f t="shared" si="5"/>
        <v>0.03415243648</v>
      </c>
      <c r="E43" s="1">
        <f t="shared" si="1"/>
        <v>64</v>
      </c>
      <c r="F43" s="1"/>
      <c r="G43" s="85">
        <f t="shared" si="4"/>
        <v>40</v>
      </c>
      <c r="H43" s="86" t="s">
        <v>104</v>
      </c>
      <c r="I43" s="86">
        <v>146.7</v>
      </c>
    </row>
    <row r="44" ht="15.75" customHeight="1">
      <c r="B44" s="1" t="str">
        <f t="shared" si="6"/>
        <v>Dec 22, 2023</v>
      </c>
      <c r="C44" s="1">
        <f t="shared" si="7"/>
        <v>123.7</v>
      </c>
      <c r="D44" s="3">
        <f t="shared" si="5"/>
        <v>-0.003624647604</v>
      </c>
      <c r="E44" s="1">
        <f t="shared" si="1"/>
        <v>63</v>
      </c>
      <c r="F44" s="1"/>
      <c r="G44" s="85">
        <f t="shared" si="4"/>
        <v>41</v>
      </c>
      <c r="H44" s="86" t="s">
        <v>105</v>
      </c>
      <c r="I44" s="86">
        <v>143.7</v>
      </c>
    </row>
    <row r="45" ht="15.75" customHeight="1">
      <c r="B45" s="1" t="str">
        <f t="shared" si="6"/>
        <v>Dec 26, 2023</v>
      </c>
      <c r="C45" s="1">
        <f t="shared" si="7"/>
        <v>128.05</v>
      </c>
      <c r="D45" s="3">
        <f t="shared" si="5"/>
        <v>0.03516572352</v>
      </c>
      <c r="E45" s="1">
        <f t="shared" si="1"/>
        <v>62</v>
      </c>
      <c r="F45" s="1"/>
      <c r="G45" s="85">
        <f t="shared" si="4"/>
        <v>42</v>
      </c>
      <c r="H45" s="86" t="s">
        <v>106</v>
      </c>
      <c r="I45" s="86">
        <v>143.45</v>
      </c>
    </row>
    <row r="46" ht="15.75" customHeight="1">
      <c r="B46" s="1" t="str">
        <f t="shared" si="6"/>
        <v>Dec 27, 2023</v>
      </c>
      <c r="C46" s="1">
        <f t="shared" si="7"/>
        <v>126.6</v>
      </c>
      <c r="D46" s="3">
        <f t="shared" si="5"/>
        <v>-0.01132370168</v>
      </c>
      <c r="E46" s="1">
        <f t="shared" si="1"/>
        <v>61</v>
      </c>
      <c r="F46" s="1"/>
      <c r="G46" s="85">
        <f t="shared" si="4"/>
        <v>43</v>
      </c>
      <c r="H46" s="86" t="s">
        <v>107</v>
      </c>
      <c r="I46" s="86">
        <v>138.95</v>
      </c>
    </row>
    <row r="47" ht="15.75" customHeight="1">
      <c r="B47" s="1" t="str">
        <f t="shared" si="6"/>
        <v>Dec 28, 2023</v>
      </c>
      <c r="C47" s="1">
        <f t="shared" si="7"/>
        <v>133.25</v>
      </c>
      <c r="D47" s="3">
        <f t="shared" si="5"/>
        <v>0.05252764613</v>
      </c>
      <c r="E47" s="1">
        <f t="shared" si="1"/>
        <v>60</v>
      </c>
      <c r="F47" s="1"/>
      <c r="G47" s="85">
        <f t="shared" si="4"/>
        <v>44</v>
      </c>
      <c r="H47" s="86" t="s">
        <v>108</v>
      </c>
      <c r="I47" s="86">
        <v>148.65</v>
      </c>
    </row>
    <row r="48" ht="15.75" customHeight="1">
      <c r="B48" s="1" t="str">
        <f t="shared" si="6"/>
        <v>Dec 29, 2023</v>
      </c>
      <c r="C48" s="1">
        <f t="shared" si="7"/>
        <v>129.85</v>
      </c>
      <c r="D48" s="3">
        <f t="shared" si="5"/>
        <v>-0.02551594747</v>
      </c>
      <c r="E48" s="1">
        <f t="shared" si="1"/>
        <v>59</v>
      </c>
      <c r="F48" s="1"/>
      <c r="G48" s="85">
        <f t="shared" si="4"/>
        <v>45</v>
      </c>
      <c r="H48" s="86" t="s">
        <v>109</v>
      </c>
      <c r="I48" s="86">
        <v>144.5</v>
      </c>
    </row>
    <row r="49" ht="15.75" customHeight="1">
      <c r="B49" s="1" t="str">
        <f t="shared" si="6"/>
        <v>Jan 01, 2024</v>
      </c>
      <c r="C49" s="1">
        <f t="shared" si="7"/>
        <v>130.3</v>
      </c>
      <c r="D49" s="3">
        <f t="shared" si="5"/>
        <v>0.003465537158</v>
      </c>
      <c r="E49" s="1">
        <f t="shared" si="1"/>
        <v>58</v>
      </c>
      <c r="F49" s="1"/>
      <c r="G49" s="85">
        <f t="shared" si="4"/>
        <v>46</v>
      </c>
      <c r="H49" s="86" t="s">
        <v>110</v>
      </c>
      <c r="I49" s="86">
        <v>144.1</v>
      </c>
    </row>
    <row r="50" ht="15.75" customHeight="1">
      <c r="B50" s="1" t="str">
        <f t="shared" si="6"/>
        <v>Jan 02, 2024</v>
      </c>
      <c r="C50" s="1">
        <f t="shared" si="7"/>
        <v>130.55</v>
      </c>
      <c r="D50" s="3">
        <f t="shared" si="5"/>
        <v>0.001918649271</v>
      </c>
      <c r="E50" s="1">
        <f t="shared" si="1"/>
        <v>57</v>
      </c>
      <c r="F50" s="1"/>
      <c r="G50" s="85">
        <f t="shared" si="4"/>
        <v>47</v>
      </c>
      <c r="H50" s="86" t="s">
        <v>111</v>
      </c>
      <c r="I50" s="86">
        <v>143.6</v>
      </c>
    </row>
    <row r="51" ht="15.75" customHeight="1">
      <c r="B51" s="1" t="str">
        <f t="shared" si="6"/>
        <v>Jan 03, 2024</v>
      </c>
      <c r="C51" s="1">
        <f t="shared" si="7"/>
        <v>132.7</v>
      </c>
      <c r="D51" s="3">
        <f t="shared" si="5"/>
        <v>0.01646878591</v>
      </c>
      <c r="E51" s="1">
        <f t="shared" si="1"/>
        <v>56</v>
      </c>
      <c r="F51" s="1"/>
      <c r="G51" s="85">
        <f t="shared" si="4"/>
        <v>48</v>
      </c>
      <c r="H51" s="86" t="s">
        <v>112</v>
      </c>
      <c r="I51" s="86">
        <v>137.65</v>
      </c>
    </row>
    <row r="52" ht="15.75" customHeight="1">
      <c r="B52" s="1" t="str">
        <f t="shared" si="6"/>
        <v>Jan 04, 2024</v>
      </c>
      <c r="C52" s="1">
        <f t="shared" si="7"/>
        <v>131.2</v>
      </c>
      <c r="D52" s="3">
        <f t="shared" si="5"/>
        <v>-0.01130369254</v>
      </c>
      <c r="E52" s="1">
        <f t="shared" si="1"/>
        <v>55</v>
      </c>
      <c r="F52" s="1"/>
      <c r="G52" s="85">
        <f t="shared" si="4"/>
        <v>49</v>
      </c>
      <c r="H52" s="86" t="s">
        <v>113</v>
      </c>
      <c r="I52" s="86">
        <v>135.3</v>
      </c>
    </row>
    <row r="53" ht="15.75" customHeight="1">
      <c r="B53" s="1" t="str">
        <f t="shared" si="6"/>
        <v>Jan 05, 2024</v>
      </c>
      <c r="C53" s="1">
        <f t="shared" si="7"/>
        <v>132.7</v>
      </c>
      <c r="D53" s="3">
        <f t="shared" si="5"/>
        <v>0.01143292683</v>
      </c>
      <c r="E53" s="1">
        <f t="shared" si="1"/>
        <v>54</v>
      </c>
      <c r="F53" s="1"/>
      <c r="G53" s="85">
        <f t="shared" si="4"/>
        <v>50</v>
      </c>
      <c r="H53" s="86" t="s">
        <v>114</v>
      </c>
      <c r="I53" s="86">
        <v>133.25</v>
      </c>
    </row>
    <row r="54" ht="15.75" customHeight="1">
      <c r="B54" s="1" t="str">
        <f t="shared" si="6"/>
        <v>Jan 08, 2024</v>
      </c>
      <c r="C54" s="1">
        <f t="shared" si="7"/>
        <v>132.65</v>
      </c>
      <c r="D54" s="3">
        <f t="shared" si="5"/>
        <v>-0.0003767897513</v>
      </c>
      <c r="E54" s="1">
        <f t="shared" si="1"/>
        <v>53</v>
      </c>
      <c r="F54" s="1"/>
      <c r="G54" s="85">
        <f t="shared" si="4"/>
        <v>51</v>
      </c>
      <c r="H54" s="86" t="s">
        <v>115</v>
      </c>
      <c r="I54" s="86">
        <v>130.55</v>
      </c>
    </row>
    <row r="55" ht="15.75" customHeight="1">
      <c r="B55" s="1" t="str">
        <f t="shared" si="6"/>
        <v>Jan 09, 2024</v>
      </c>
      <c r="C55" s="1">
        <f t="shared" si="7"/>
        <v>131.9</v>
      </c>
      <c r="D55" s="3">
        <f t="shared" si="5"/>
        <v>-0.00565397663</v>
      </c>
      <c r="E55" s="1">
        <f t="shared" si="1"/>
        <v>52</v>
      </c>
      <c r="F55" s="1"/>
      <c r="G55" s="85">
        <f t="shared" si="4"/>
        <v>52</v>
      </c>
      <c r="H55" s="86" t="s">
        <v>116</v>
      </c>
      <c r="I55" s="86">
        <v>131.9</v>
      </c>
    </row>
    <row r="56" ht="15.75" customHeight="1">
      <c r="B56" s="1" t="str">
        <f t="shared" si="6"/>
        <v>Jan 10, 2024</v>
      </c>
      <c r="C56" s="1">
        <f t="shared" si="7"/>
        <v>130.55</v>
      </c>
      <c r="D56" s="3">
        <f t="shared" si="5"/>
        <v>-0.01023502654</v>
      </c>
      <c r="E56" s="1">
        <f t="shared" si="1"/>
        <v>51</v>
      </c>
      <c r="F56" s="1"/>
      <c r="G56" s="85">
        <f t="shared" si="4"/>
        <v>53</v>
      </c>
      <c r="H56" s="86" t="s">
        <v>117</v>
      </c>
      <c r="I56" s="86">
        <v>132.65</v>
      </c>
    </row>
    <row r="57" ht="15.75" customHeight="1">
      <c r="B57" s="1" t="str">
        <f t="shared" si="6"/>
        <v>Jan 11, 2024</v>
      </c>
      <c r="C57" s="1">
        <f t="shared" si="7"/>
        <v>133.25</v>
      </c>
      <c r="D57" s="3">
        <f t="shared" si="5"/>
        <v>0.02068173114</v>
      </c>
      <c r="E57" s="1">
        <f t="shared" si="1"/>
        <v>50</v>
      </c>
      <c r="F57" s="1"/>
      <c r="G57" s="85">
        <f t="shared" si="4"/>
        <v>54</v>
      </c>
      <c r="H57" s="86" t="s">
        <v>118</v>
      </c>
      <c r="I57" s="86">
        <v>132.7</v>
      </c>
    </row>
    <row r="58" ht="15.75" customHeight="1">
      <c r="B58" s="1" t="str">
        <f t="shared" si="6"/>
        <v>Jan 12, 2024</v>
      </c>
      <c r="C58" s="1">
        <f t="shared" si="7"/>
        <v>135.3</v>
      </c>
      <c r="D58" s="3">
        <f t="shared" si="5"/>
        <v>0.01538461538</v>
      </c>
      <c r="E58" s="1">
        <f t="shared" si="1"/>
        <v>49</v>
      </c>
      <c r="F58" s="1"/>
      <c r="G58" s="85">
        <f t="shared" si="4"/>
        <v>55</v>
      </c>
      <c r="H58" s="86" t="s">
        <v>119</v>
      </c>
      <c r="I58" s="86">
        <v>131.2</v>
      </c>
    </row>
    <row r="59" ht="15.75" customHeight="1">
      <c r="B59" s="1" t="str">
        <f t="shared" si="6"/>
        <v>Jan 15, 2024</v>
      </c>
      <c r="C59" s="1">
        <f t="shared" si="7"/>
        <v>137.65</v>
      </c>
      <c r="D59" s="3">
        <f t="shared" si="5"/>
        <v>0.01736881005</v>
      </c>
      <c r="E59" s="1">
        <f t="shared" si="1"/>
        <v>48</v>
      </c>
      <c r="F59" s="1"/>
      <c r="G59" s="85">
        <f t="shared" si="4"/>
        <v>56</v>
      </c>
      <c r="H59" s="86" t="s">
        <v>120</v>
      </c>
      <c r="I59" s="86">
        <v>132.7</v>
      </c>
    </row>
    <row r="60" ht="15.75" customHeight="1">
      <c r="B60" s="1" t="str">
        <f t="shared" si="6"/>
        <v>Jan 16, 2024</v>
      </c>
      <c r="C60" s="1">
        <f t="shared" si="7"/>
        <v>143.6</v>
      </c>
      <c r="D60" s="3">
        <f t="shared" si="5"/>
        <v>0.0432255721</v>
      </c>
      <c r="E60" s="1">
        <f t="shared" si="1"/>
        <v>47</v>
      </c>
      <c r="F60" s="1"/>
      <c r="G60" s="85">
        <f t="shared" si="4"/>
        <v>57</v>
      </c>
      <c r="H60" s="86" t="s">
        <v>121</v>
      </c>
      <c r="I60" s="86">
        <v>130.55</v>
      </c>
    </row>
    <row r="61" ht="15.75" customHeight="1">
      <c r="B61" s="1" t="str">
        <f t="shared" si="6"/>
        <v>Jan 17, 2024</v>
      </c>
      <c r="C61" s="1">
        <f t="shared" si="7"/>
        <v>144.1</v>
      </c>
      <c r="D61" s="3">
        <f t="shared" si="5"/>
        <v>0.00348189415</v>
      </c>
      <c r="E61" s="1">
        <f t="shared" si="1"/>
        <v>46</v>
      </c>
      <c r="F61" s="1"/>
      <c r="G61" s="85">
        <f t="shared" si="4"/>
        <v>58</v>
      </c>
      <c r="H61" s="86" t="s">
        <v>122</v>
      </c>
      <c r="I61" s="86">
        <v>130.3</v>
      </c>
    </row>
    <row r="62" ht="15.75" customHeight="1">
      <c r="B62" s="1" t="str">
        <f t="shared" si="6"/>
        <v>Jan 18, 2024</v>
      </c>
      <c r="C62" s="1">
        <f t="shared" si="7"/>
        <v>144.5</v>
      </c>
      <c r="D62" s="3">
        <f t="shared" si="5"/>
        <v>0.002775850104</v>
      </c>
      <c r="E62" s="1">
        <f t="shared" si="1"/>
        <v>45</v>
      </c>
      <c r="F62" s="1"/>
      <c r="G62" s="85">
        <f t="shared" si="4"/>
        <v>59</v>
      </c>
      <c r="H62" s="86" t="s">
        <v>123</v>
      </c>
      <c r="I62" s="86">
        <v>129.85</v>
      </c>
    </row>
    <row r="63" ht="15.75" customHeight="1">
      <c r="B63" s="1" t="str">
        <f t="shared" si="6"/>
        <v>Jan 19, 2024</v>
      </c>
      <c r="C63" s="1">
        <f t="shared" si="7"/>
        <v>148.65</v>
      </c>
      <c r="D63" s="3">
        <f t="shared" si="5"/>
        <v>0.02871972318</v>
      </c>
      <c r="E63" s="1">
        <f t="shared" si="1"/>
        <v>44</v>
      </c>
      <c r="F63" s="1"/>
      <c r="G63" s="85">
        <f t="shared" si="4"/>
        <v>60</v>
      </c>
      <c r="H63" s="86" t="s">
        <v>124</v>
      </c>
      <c r="I63" s="86">
        <v>133.25</v>
      </c>
    </row>
    <row r="64" ht="15.75" customHeight="1">
      <c r="B64" s="1" t="str">
        <f t="shared" si="6"/>
        <v>Jan 23, 2024</v>
      </c>
      <c r="C64" s="1">
        <f t="shared" si="7"/>
        <v>138.95</v>
      </c>
      <c r="D64" s="3">
        <f t="shared" si="5"/>
        <v>-0.06525395224</v>
      </c>
      <c r="E64" s="1">
        <f t="shared" si="1"/>
        <v>43</v>
      </c>
      <c r="F64" s="1"/>
      <c r="G64" s="85">
        <f t="shared" si="4"/>
        <v>61</v>
      </c>
      <c r="H64" s="86" t="s">
        <v>125</v>
      </c>
      <c r="I64" s="86">
        <v>126.6</v>
      </c>
    </row>
    <row r="65" ht="15.75" customHeight="1">
      <c r="B65" s="1" t="str">
        <f t="shared" si="6"/>
        <v>Jan 24, 2024</v>
      </c>
      <c r="C65" s="1">
        <f t="shared" si="7"/>
        <v>143.45</v>
      </c>
      <c r="D65" s="3">
        <f t="shared" si="5"/>
        <v>0.03238575027</v>
      </c>
      <c r="E65" s="1">
        <f t="shared" si="1"/>
        <v>42</v>
      </c>
      <c r="F65" s="1"/>
      <c r="G65" s="85">
        <f t="shared" si="4"/>
        <v>62</v>
      </c>
      <c r="H65" s="86" t="s">
        <v>126</v>
      </c>
      <c r="I65" s="86">
        <v>128.05</v>
      </c>
    </row>
    <row r="66" ht="15.75" customHeight="1">
      <c r="B66" s="1" t="str">
        <f t="shared" si="6"/>
        <v>Jan 25, 2024</v>
      </c>
      <c r="C66" s="1">
        <f t="shared" si="7"/>
        <v>143.7</v>
      </c>
      <c r="D66" s="3">
        <f t="shared" si="5"/>
        <v>0.001742767515</v>
      </c>
      <c r="E66" s="1">
        <f t="shared" si="1"/>
        <v>41</v>
      </c>
      <c r="F66" s="1"/>
      <c r="G66" s="85">
        <f t="shared" si="4"/>
        <v>63</v>
      </c>
      <c r="H66" s="86" t="s">
        <v>127</v>
      </c>
      <c r="I66" s="86">
        <v>123.7</v>
      </c>
    </row>
    <row r="67" ht="15.75" customHeight="1">
      <c r="B67" s="1" t="str">
        <f t="shared" si="6"/>
        <v>Jan 29, 2024</v>
      </c>
      <c r="C67" s="1">
        <f t="shared" si="7"/>
        <v>146.7</v>
      </c>
      <c r="D67" s="3">
        <f t="shared" si="5"/>
        <v>0.02087682672</v>
      </c>
      <c r="E67" s="1">
        <f t="shared" si="1"/>
        <v>40</v>
      </c>
      <c r="F67" s="1"/>
      <c r="G67" s="85">
        <f t="shared" si="4"/>
        <v>64</v>
      </c>
      <c r="H67" s="86" t="s">
        <v>128</v>
      </c>
      <c r="I67" s="86">
        <v>124.15</v>
      </c>
    </row>
    <row r="68" ht="15.75" customHeight="1">
      <c r="B68" s="1" t="str">
        <f t="shared" si="6"/>
        <v>Jan 30, 2024</v>
      </c>
      <c r="C68" s="1">
        <f t="shared" si="7"/>
        <v>147.7</v>
      </c>
      <c r="D68" s="3">
        <f t="shared" si="5"/>
        <v>0.006816632584</v>
      </c>
      <c r="E68" s="1">
        <f t="shared" si="1"/>
        <v>39</v>
      </c>
      <c r="F68" s="1"/>
      <c r="G68" s="85">
        <f t="shared" si="4"/>
        <v>65</v>
      </c>
      <c r="H68" s="86" t="s">
        <v>129</v>
      </c>
      <c r="I68" s="86">
        <v>120.05</v>
      </c>
    </row>
    <row r="69" ht="15.75" customHeight="1">
      <c r="B69" s="1" t="str">
        <f t="shared" si="6"/>
        <v>Jan 31, 2024</v>
      </c>
      <c r="C69" s="1">
        <f t="shared" si="7"/>
        <v>146.95</v>
      </c>
      <c r="D69" s="3">
        <f t="shared" si="5"/>
        <v>-0.005077860528</v>
      </c>
      <c r="E69" s="1">
        <f t="shared" si="1"/>
        <v>38</v>
      </c>
      <c r="F69" s="1"/>
      <c r="G69" s="85">
        <f t="shared" si="4"/>
        <v>66</v>
      </c>
      <c r="H69" s="86" t="s">
        <v>130</v>
      </c>
      <c r="I69" s="86">
        <v>124.7</v>
      </c>
    </row>
    <row r="70" ht="15.75" customHeight="1">
      <c r="B70" s="1" t="str">
        <f t="shared" si="6"/>
        <v>Feb 01, 2024</v>
      </c>
      <c r="C70" s="1">
        <f t="shared" si="7"/>
        <v>149.75</v>
      </c>
      <c r="D70" s="3">
        <f t="shared" si="5"/>
        <v>0.01905410003</v>
      </c>
      <c r="E70" s="1">
        <f t="shared" si="1"/>
        <v>37</v>
      </c>
      <c r="F70" s="1"/>
      <c r="G70" s="85">
        <f t="shared" si="4"/>
        <v>67</v>
      </c>
      <c r="H70" s="86" t="s">
        <v>131</v>
      </c>
      <c r="I70" s="86">
        <v>124.35</v>
      </c>
    </row>
    <row r="71" ht="15.75" customHeight="1">
      <c r="B71" s="1" t="str">
        <f t="shared" si="6"/>
        <v>Feb 02, 2024</v>
      </c>
      <c r="C71" s="1">
        <f t="shared" si="7"/>
        <v>162.9</v>
      </c>
      <c r="D71" s="3">
        <f t="shared" si="5"/>
        <v>0.0878130217</v>
      </c>
      <c r="E71" s="1">
        <f t="shared" si="1"/>
        <v>36</v>
      </c>
      <c r="F71" s="1"/>
      <c r="G71" s="85">
        <f t="shared" si="4"/>
        <v>68</v>
      </c>
      <c r="H71" s="86" t="s">
        <v>132</v>
      </c>
      <c r="I71" s="86">
        <v>123.8</v>
      </c>
    </row>
    <row r="72" ht="15.75" customHeight="1">
      <c r="B72" s="1" t="str">
        <f t="shared" si="6"/>
        <v>Feb 05, 2024</v>
      </c>
      <c r="C72" s="1">
        <f t="shared" si="7"/>
        <v>173.95</v>
      </c>
      <c r="D72" s="3">
        <f t="shared" si="5"/>
        <v>0.0678330264</v>
      </c>
      <c r="E72" s="1">
        <f t="shared" si="1"/>
        <v>35</v>
      </c>
      <c r="F72" s="1"/>
      <c r="G72" s="85">
        <f t="shared" si="4"/>
        <v>69</v>
      </c>
      <c r="H72" s="86" t="s">
        <v>133</v>
      </c>
      <c r="I72" s="86">
        <v>120.1</v>
      </c>
    </row>
    <row r="73" ht="15.75" customHeight="1">
      <c r="B73" s="1" t="str">
        <f t="shared" si="6"/>
        <v>Feb 06, 2024</v>
      </c>
      <c r="C73" s="1">
        <f t="shared" si="7"/>
        <v>184.5</v>
      </c>
      <c r="D73" s="3">
        <f t="shared" si="5"/>
        <v>0.06064961196</v>
      </c>
      <c r="E73" s="1">
        <f t="shared" si="1"/>
        <v>34</v>
      </c>
      <c r="F73" s="1"/>
      <c r="G73" s="85">
        <f t="shared" si="4"/>
        <v>70</v>
      </c>
      <c r="H73" s="86" t="s">
        <v>134</v>
      </c>
      <c r="I73" s="86">
        <v>119.65</v>
      </c>
    </row>
    <row r="74" ht="15.75" customHeight="1">
      <c r="B74" s="1" t="str">
        <f t="shared" si="6"/>
        <v>Feb 07, 2024</v>
      </c>
      <c r="C74" s="1">
        <f t="shared" si="7"/>
        <v>186.45</v>
      </c>
      <c r="D74" s="3">
        <f t="shared" si="5"/>
        <v>0.01056910569</v>
      </c>
      <c r="E74" s="1">
        <f t="shared" si="1"/>
        <v>33</v>
      </c>
      <c r="F74" s="1"/>
      <c r="G74" s="85">
        <f t="shared" si="4"/>
        <v>71</v>
      </c>
      <c r="H74" s="86" t="s">
        <v>135</v>
      </c>
      <c r="I74" s="86">
        <v>117.55</v>
      </c>
    </row>
    <row r="75" ht="15.75" customHeight="1">
      <c r="B75" s="1" t="str">
        <f t="shared" si="6"/>
        <v>Feb 08, 2024</v>
      </c>
      <c r="C75" s="1">
        <f t="shared" si="7"/>
        <v>192.4</v>
      </c>
      <c r="D75" s="3">
        <f t="shared" si="5"/>
        <v>0.03191204076</v>
      </c>
      <c r="E75" s="1">
        <f t="shared" si="1"/>
        <v>32</v>
      </c>
      <c r="F75" s="1"/>
      <c r="G75" s="85">
        <f t="shared" si="4"/>
        <v>72</v>
      </c>
      <c r="H75" s="86" t="s">
        <v>136</v>
      </c>
      <c r="I75" s="86">
        <v>117.5</v>
      </c>
    </row>
    <row r="76" ht="15.75" customHeight="1">
      <c r="B76" s="1" t="str">
        <f t="shared" si="6"/>
        <v>Feb 09, 2024</v>
      </c>
      <c r="C76" s="1">
        <f t="shared" si="7"/>
        <v>182.5</v>
      </c>
      <c r="D76" s="3">
        <f t="shared" si="5"/>
        <v>-0.05145530146</v>
      </c>
      <c r="E76" s="1">
        <f t="shared" si="1"/>
        <v>31</v>
      </c>
      <c r="F76" s="1"/>
      <c r="G76" s="85">
        <f t="shared" si="4"/>
        <v>73</v>
      </c>
      <c r="H76" s="86" t="s">
        <v>137</v>
      </c>
      <c r="I76" s="86">
        <v>118.8</v>
      </c>
    </row>
    <row r="77" ht="15.75" customHeight="1">
      <c r="B77" s="1" t="str">
        <f t="shared" si="6"/>
        <v>Feb 12, 2024</v>
      </c>
      <c r="C77" s="1">
        <f t="shared" si="7"/>
        <v>175.4</v>
      </c>
      <c r="D77" s="3">
        <f t="shared" si="5"/>
        <v>-0.03890410959</v>
      </c>
      <c r="E77" s="1">
        <f t="shared" si="1"/>
        <v>30</v>
      </c>
      <c r="F77" s="1"/>
      <c r="G77" s="85">
        <f t="shared" si="4"/>
        <v>74</v>
      </c>
      <c r="H77" s="86" t="s">
        <v>138</v>
      </c>
      <c r="I77" s="86">
        <v>121.35</v>
      </c>
    </row>
    <row r="78" ht="15.75" customHeight="1">
      <c r="B78" s="1" t="str">
        <f t="shared" si="6"/>
        <v>Feb 13, 2024</v>
      </c>
      <c r="C78" s="1">
        <f t="shared" si="7"/>
        <v>174.45</v>
      </c>
      <c r="D78" s="3">
        <f t="shared" si="5"/>
        <v>-0.005416191562</v>
      </c>
      <c r="E78" s="1">
        <f t="shared" si="1"/>
        <v>29</v>
      </c>
      <c r="F78" s="1"/>
      <c r="G78" s="85">
        <f t="shared" si="4"/>
        <v>75</v>
      </c>
      <c r="H78" s="86" t="s">
        <v>139</v>
      </c>
      <c r="I78" s="86">
        <v>119.3</v>
      </c>
    </row>
    <row r="79" ht="15.75" customHeight="1">
      <c r="B79" s="1" t="str">
        <f t="shared" si="6"/>
        <v>Feb 14, 2024</v>
      </c>
      <c r="C79" s="1">
        <f t="shared" si="7"/>
        <v>183.55</v>
      </c>
      <c r="D79" s="3">
        <f t="shared" si="5"/>
        <v>0.05216394382</v>
      </c>
      <c r="E79" s="1">
        <f t="shared" si="1"/>
        <v>28</v>
      </c>
      <c r="F79" s="1"/>
      <c r="G79" s="85">
        <f t="shared" si="4"/>
        <v>76</v>
      </c>
      <c r="H79" s="86" t="s">
        <v>140</v>
      </c>
      <c r="I79" s="86">
        <v>117.7</v>
      </c>
    </row>
    <row r="80" ht="15.75" customHeight="1">
      <c r="B80" s="1" t="str">
        <f t="shared" si="6"/>
        <v>Feb 15, 2024</v>
      </c>
      <c r="C80" s="1">
        <f t="shared" si="7"/>
        <v>189.85</v>
      </c>
      <c r="D80" s="3">
        <f t="shared" si="5"/>
        <v>0.03432307273</v>
      </c>
      <c r="E80" s="1">
        <f t="shared" si="1"/>
        <v>27</v>
      </c>
      <c r="F80" s="1"/>
      <c r="G80" s="85">
        <f t="shared" si="4"/>
        <v>77</v>
      </c>
      <c r="H80" s="86" t="s">
        <v>141</v>
      </c>
      <c r="I80" s="86">
        <v>115.9</v>
      </c>
    </row>
    <row r="81" ht="15.75" customHeight="1">
      <c r="B81" s="1" t="str">
        <f t="shared" si="6"/>
        <v>Feb 16, 2024</v>
      </c>
      <c r="C81" s="1">
        <f t="shared" si="7"/>
        <v>187</v>
      </c>
      <c r="D81" s="3">
        <f t="shared" si="5"/>
        <v>-0.01501185146</v>
      </c>
      <c r="E81" s="1">
        <f t="shared" si="1"/>
        <v>26</v>
      </c>
      <c r="F81" s="1"/>
      <c r="G81" s="85">
        <f t="shared" si="4"/>
        <v>78</v>
      </c>
      <c r="H81" s="86" t="s">
        <v>142</v>
      </c>
      <c r="I81" s="86">
        <v>111.25</v>
      </c>
    </row>
    <row r="82" ht="15.75" customHeight="1">
      <c r="B82" s="1" t="str">
        <f t="shared" si="6"/>
        <v>Feb 19, 2024</v>
      </c>
      <c r="C82" s="1">
        <f t="shared" si="7"/>
        <v>188.5</v>
      </c>
      <c r="D82" s="3">
        <f t="shared" si="5"/>
        <v>0.008021390374</v>
      </c>
      <c r="E82" s="1">
        <f t="shared" si="1"/>
        <v>25</v>
      </c>
      <c r="F82" s="1"/>
      <c r="G82" s="85">
        <f t="shared" si="4"/>
        <v>79</v>
      </c>
      <c r="H82" s="86" t="s">
        <v>143</v>
      </c>
      <c r="I82" s="86">
        <v>111.75</v>
      </c>
    </row>
    <row r="83" ht="15.75" customHeight="1">
      <c r="B83" s="1" t="str">
        <f t="shared" si="6"/>
        <v>Feb 20, 2024</v>
      </c>
      <c r="C83" s="1">
        <f t="shared" si="7"/>
        <v>188.75</v>
      </c>
      <c r="D83" s="3">
        <f t="shared" si="5"/>
        <v>0.001326259947</v>
      </c>
      <c r="E83" s="1">
        <f t="shared" si="1"/>
        <v>24</v>
      </c>
      <c r="F83" s="1"/>
      <c r="G83" s="85">
        <f t="shared" si="4"/>
        <v>80</v>
      </c>
      <c r="H83" s="86" t="s">
        <v>144</v>
      </c>
      <c r="I83" s="86">
        <v>108.55</v>
      </c>
    </row>
    <row r="84" ht="15.75" customHeight="1">
      <c r="B84" s="1" t="str">
        <f t="shared" si="6"/>
        <v>Feb 21, 2024</v>
      </c>
      <c r="C84" s="1">
        <f t="shared" si="7"/>
        <v>182.3</v>
      </c>
      <c r="D84" s="3">
        <f t="shared" si="5"/>
        <v>-0.03417218543</v>
      </c>
      <c r="E84" s="1">
        <f t="shared" si="1"/>
        <v>23</v>
      </c>
      <c r="F84" s="1"/>
      <c r="G84" s="85">
        <f t="shared" si="4"/>
        <v>81</v>
      </c>
      <c r="H84" s="86" t="s">
        <v>145</v>
      </c>
      <c r="I84" s="86">
        <v>108.2</v>
      </c>
    </row>
    <row r="85" ht="15.75" customHeight="1">
      <c r="B85" s="1" t="str">
        <f t="shared" si="6"/>
        <v>Feb 22, 2024</v>
      </c>
      <c r="C85" s="1">
        <f t="shared" si="7"/>
        <v>179.7</v>
      </c>
      <c r="D85" s="3">
        <f t="shared" si="5"/>
        <v>-0.01426220516</v>
      </c>
      <c r="E85" s="1">
        <f t="shared" si="1"/>
        <v>22</v>
      </c>
      <c r="F85" s="1"/>
      <c r="G85" s="85">
        <f t="shared" si="4"/>
        <v>82</v>
      </c>
      <c r="H85" s="86" t="s">
        <v>146</v>
      </c>
      <c r="I85" s="86">
        <v>103.45</v>
      </c>
    </row>
    <row r="86" ht="15.75" customHeight="1">
      <c r="B86" s="1" t="str">
        <f t="shared" si="6"/>
        <v>Feb 23, 2024</v>
      </c>
      <c r="C86" s="1">
        <f t="shared" si="7"/>
        <v>175.85</v>
      </c>
      <c r="D86" s="3">
        <f t="shared" si="5"/>
        <v>-0.02142459655</v>
      </c>
      <c r="E86" s="1">
        <f t="shared" si="1"/>
        <v>21</v>
      </c>
      <c r="F86" s="1"/>
      <c r="G86" s="85">
        <f t="shared" si="4"/>
        <v>83</v>
      </c>
      <c r="H86" s="86" t="s">
        <v>147</v>
      </c>
      <c r="I86" s="86">
        <v>103.8</v>
      </c>
    </row>
    <row r="87" ht="15.75" customHeight="1">
      <c r="B87" s="1" t="str">
        <f t="shared" si="6"/>
        <v>Feb 26, 2024</v>
      </c>
      <c r="C87" s="1">
        <f t="shared" si="7"/>
        <v>177.5</v>
      </c>
      <c r="D87" s="3">
        <f t="shared" si="5"/>
        <v>0.009382996872</v>
      </c>
      <c r="E87" s="1">
        <f t="shared" si="1"/>
        <v>20</v>
      </c>
      <c r="F87" s="1"/>
      <c r="G87" s="85">
        <f t="shared" si="4"/>
        <v>84</v>
      </c>
      <c r="H87" s="86" t="s">
        <v>148</v>
      </c>
      <c r="I87" s="86">
        <v>101.25</v>
      </c>
    </row>
    <row r="88" ht="15.75" customHeight="1">
      <c r="B88" s="1" t="str">
        <f t="shared" si="6"/>
        <v>Feb 27, 2024</v>
      </c>
      <c r="C88" s="1">
        <f t="shared" si="7"/>
        <v>173.25</v>
      </c>
      <c r="D88" s="3">
        <f t="shared" si="5"/>
        <v>-0.02394366197</v>
      </c>
      <c r="E88" s="1">
        <f t="shared" si="1"/>
        <v>19</v>
      </c>
      <c r="F88" s="1"/>
      <c r="G88" s="85">
        <f t="shared" si="4"/>
        <v>85</v>
      </c>
      <c r="H88" s="86" t="s">
        <v>149</v>
      </c>
      <c r="I88" s="86">
        <v>101.05</v>
      </c>
    </row>
    <row r="89" ht="15.75" customHeight="1">
      <c r="B89" s="1" t="str">
        <f t="shared" si="6"/>
        <v>Feb 28, 2024</v>
      </c>
      <c r="C89" s="1">
        <f t="shared" si="7"/>
        <v>167.4</v>
      </c>
      <c r="D89" s="3">
        <f t="shared" si="5"/>
        <v>-0.03376623377</v>
      </c>
      <c r="E89" s="1">
        <f t="shared" si="1"/>
        <v>18</v>
      </c>
      <c r="F89" s="1"/>
      <c r="G89" s="85">
        <f t="shared" si="4"/>
        <v>86</v>
      </c>
      <c r="H89" s="86" t="s">
        <v>150</v>
      </c>
      <c r="I89" s="86">
        <v>102.85</v>
      </c>
    </row>
    <row r="90" ht="15.75" customHeight="1">
      <c r="B90" s="1" t="str">
        <f t="shared" si="6"/>
        <v>Feb 29, 2024</v>
      </c>
      <c r="C90" s="1">
        <f t="shared" si="7"/>
        <v>165.55</v>
      </c>
      <c r="D90" s="3">
        <f t="shared" si="5"/>
        <v>-0.01105137395</v>
      </c>
      <c r="E90" s="1">
        <f t="shared" si="1"/>
        <v>17</v>
      </c>
      <c r="F90" s="1"/>
      <c r="G90" s="85">
        <f t="shared" si="4"/>
        <v>87</v>
      </c>
      <c r="H90" s="86" t="s">
        <v>151</v>
      </c>
      <c r="I90" s="86">
        <v>102.7</v>
      </c>
    </row>
    <row r="91" ht="15.75" customHeight="1">
      <c r="B91" s="1" t="str">
        <f t="shared" si="6"/>
        <v>Mar 01, 2024</v>
      </c>
      <c r="C91" s="1">
        <f t="shared" si="7"/>
        <v>169.4</v>
      </c>
      <c r="D91" s="3">
        <f t="shared" si="5"/>
        <v>0.02325581395</v>
      </c>
      <c r="E91" s="1">
        <f t="shared" si="1"/>
        <v>16</v>
      </c>
      <c r="F91" s="1"/>
      <c r="G91" s="85">
        <f t="shared" si="4"/>
        <v>88</v>
      </c>
      <c r="H91" s="86" t="s">
        <v>152</v>
      </c>
      <c r="I91" s="86">
        <v>104.1</v>
      </c>
    </row>
    <row r="92" ht="15.75" customHeight="1">
      <c r="B92" s="1" t="str">
        <f t="shared" si="6"/>
        <v>Mar 04, 2024</v>
      </c>
      <c r="C92" s="1">
        <f t="shared" si="7"/>
        <v>175.25</v>
      </c>
      <c r="D92" s="3">
        <f t="shared" si="5"/>
        <v>0.03453364817</v>
      </c>
      <c r="E92" s="1">
        <f t="shared" si="1"/>
        <v>15</v>
      </c>
      <c r="F92" s="1"/>
      <c r="G92" s="85">
        <f t="shared" si="4"/>
        <v>89</v>
      </c>
      <c r="H92" s="86" t="s">
        <v>153</v>
      </c>
      <c r="I92" s="86">
        <v>101.7</v>
      </c>
    </row>
    <row r="93" ht="15.75" customHeight="1">
      <c r="B93" s="1" t="str">
        <f t="shared" si="6"/>
        <v>Mar 05, 2024</v>
      </c>
      <c r="C93" s="1">
        <f t="shared" si="7"/>
        <v>175.85</v>
      </c>
      <c r="D93" s="3">
        <f t="shared" si="5"/>
        <v>0.003423680456</v>
      </c>
      <c r="E93" s="1">
        <f t="shared" si="1"/>
        <v>14</v>
      </c>
      <c r="F93" s="1"/>
      <c r="G93" s="85">
        <f t="shared" si="4"/>
        <v>90</v>
      </c>
      <c r="H93" s="86" t="s">
        <v>154</v>
      </c>
      <c r="I93" s="86">
        <v>99.0</v>
      </c>
    </row>
    <row r="94" ht="15.75" customHeight="1">
      <c r="B94" s="1" t="str">
        <f t="shared" si="6"/>
        <v>Mar 06, 2024</v>
      </c>
      <c r="C94" s="1">
        <f t="shared" si="7"/>
        <v>177.35</v>
      </c>
      <c r="D94" s="3">
        <f t="shared" si="5"/>
        <v>0.008529997157</v>
      </c>
      <c r="E94" s="1">
        <f t="shared" si="1"/>
        <v>13</v>
      </c>
      <c r="F94" s="1"/>
      <c r="G94" s="85">
        <f t="shared" si="4"/>
        <v>91</v>
      </c>
      <c r="H94" s="86" t="s">
        <v>155</v>
      </c>
      <c r="I94" s="86">
        <v>98.05</v>
      </c>
    </row>
    <row r="95" ht="15.75" customHeight="1">
      <c r="B95" s="1" t="str">
        <f t="shared" si="6"/>
        <v>Mar 07, 2024</v>
      </c>
      <c r="C95" s="1">
        <f t="shared" si="7"/>
        <v>174.6</v>
      </c>
      <c r="D95" s="3">
        <f t="shared" si="5"/>
        <v>-0.01550606146</v>
      </c>
      <c r="E95" s="1">
        <f t="shared" si="1"/>
        <v>12</v>
      </c>
      <c r="F95" s="1"/>
      <c r="G95" s="85">
        <f t="shared" si="4"/>
        <v>92</v>
      </c>
      <c r="H95" s="86" t="s">
        <v>155</v>
      </c>
    </row>
    <row r="96" ht="15.75" customHeight="1">
      <c r="B96" s="1" t="str">
        <f t="shared" si="6"/>
        <v>Mar 11, 2024</v>
      </c>
      <c r="C96" s="1">
        <f t="shared" si="7"/>
        <v>174.25</v>
      </c>
      <c r="D96" s="3">
        <f t="shared" si="5"/>
        <v>-0.002004581901</v>
      </c>
      <c r="E96" s="1">
        <f t="shared" si="1"/>
        <v>11</v>
      </c>
      <c r="F96" s="1"/>
      <c r="G96" s="85">
        <f t="shared" si="4"/>
        <v>93</v>
      </c>
      <c r="H96" s="86" t="s">
        <v>156</v>
      </c>
      <c r="I96" s="86">
        <v>102.95</v>
      </c>
    </row>
    <row r="97" ht="15.75" customHeight="1">
      <c r="B97" s="1" t="str">
        <f t="shared" si="6"/>
        <v>Mar 12, 2024</v>
      </c>
      <c r="C97" s="1">
        <f t="shared" si="7"/>
        <v>172.9</v>
      </c>
      <c r="D97" s="3">
        <f t="shared" si="5"/>
        <v>-0.00774748924</v>
      </c>
      <c r="E97" s="1">
        <f t="shared" si="1"/>
        <v>10</v>
      </c>
      <c r="F97" s="1"/>
      <c r="G97" s="85">
        <f t="shared" si="4"/>
        <v>94</v>
      </c>
      <c r="H97" s="86" t="s">
        <v>157</v>
      </c>
      <c r="I97" s="86">
        <v>103.45</v>
      </c>
    </row>
    <row r="98" ht="15.75" customHeight="1">
      <c r="B98" s="1" t="str">
        <f t="shared" si="6"/>
        <v>Mar 13, 2024</v>
      </c>
      <c r="C98" s="1">
        <f t="shared" si="7"/>
        <v>163.35</v>
      </c>
      <c r="D98" s="3">
        <f t="shared" si="5"/>
        <v>-0.05523423944</v>
      </c>
      <c r="E98" s="1">
        <f t="shared" si="1"/>
        <v>9</v>
      </c>
      <c r="F98" s="1"/>
      <c r="G98" s="85">
        <f t="shared" si="4"/>
        <v>95</v>
      </c>
      <c r="H98" s="86" t="s">
        <v>158</v>
      </c>
      <c r="I98" s="86">
        <v>104.05</v>
      </c>
    </row>
    <row r="99" ht="15.75" customHeight="1">
      <c r="B99" s="1" t="str">
        <f t="shared" si="6"/>
        <v>Mar 14, 2024</v>
      </c>
      <c r="C99" s="1">
        <f t="shared" si="7"/>
        <v>170.35</v>
      </c>
      <c r="D99" s="3">
        <f t="shared" si="5"/>
        <v>0.04285277013</v>
      </c>
      <c r="E99" s="1">
        <f t="shared" si="1"/>
        <v>8</v>
      </c>
      <c r="F99" s="1"/>
      <c r="G99" s="85">
        <f t="shared" si="4"/>
        <v>96</v>
      </c>
      <c r="H99" s="86" t="s">
        <v>159</v>
      </c>
      <c r="I99" s="86">
        <v>99.0</v>
      </c>
    </row>
    <row r="100" ht="15.75" customHeight="1">
      <c r="B100" s="1" t="str">
        <f t="shared" si="6"/>
        <v>Mar 15, 2024</v>
      </c>
      <c r="C100" s="1">
        <f t="shared" si="7"/>
        <v>161</v>
      </c>
      <c r="D100" s="3">
        <f t="shared" si="5"/>
        <v>-0.05488699736</v>
      </c>
      <c r="E100" s="1">
        <f t="shared" si="1"/>
        <v>7</v>
      </c>
      <c r="F100" s="1"/>
      <c r="G100" s="85">
        <f t="shared" si="4"/>
        <v>97</v>
      </c>
      <c r="H100" s="86" t="s">
        <v>160</v>
      </c>
      <c r="I100" s="86">
        <v>95.9</v>
      </c>
    </row>
    <row r="101" ht="15.75" customHeight="1">
      <c r="B101" s="1" t="str">
        <f t="shared" si="6"/>
        <v>Mar 18, 2024</v>
      </c>
      <c r="C101" s="1">
        <f t="shared" si="7"/>
        <v>160.8</v>
      </c>
      <c r="D101" s="3">
        <f t="shared" si="5"/>
        <v>-0.001242236025</v>
      </c>
      <c r="E101" s="1">
        <f t="shared" si="1"/>
        <v>6</v>
      </c>
      <c r="F101" s="1"/>
      <c r="G101" s="85">
        <f t="shared" si="4"/>
        <v>98</v>
      </c>
      <c r="H101" s="86" t="s">
        <v>161</v>
      </c>
      <c r="I101" s="86">
        <v>95.05</v>
      </c>
    </row>
    <row r="102" ht="15.75" customHeight="1">
      <c r="B102" s="1" t="str">
        <f t="shared" si="6"/>
        <v>Mar 19, 2024</v>
      </c>
      <c r="C102" s="1">
        <f t="shared" si="7"/>
        <v>155.25</v>
      </c>
      <c r="D102" s="3">
        <f t="shared" si="5"/>
        <v>-0.03451492537</v>
      </c>
      <c r="E102" s="1">
        <f t="shared" si="1"/>
        <v>5</v>
      </c>
      <c r="F102" s="1"/>
      <c r="G102" s="85">
        <f t="shared" si="4"/>
        <v>99</v>
      </c>
      <c r="H102" s="86" t="s">
        <v>162</v>
      </c>
      <c r="I102" s="86">
        <v>92.45</v>
      </c>
    </row>
    <row r="103" ht="15.75" customHeight="1">
      <c r="B103" s="1" t="str">
        <f t="shared" si="6"/>
        <v>Mar 20, 2024</v>
      </c>
      <c r="C103" s="1">
        <f t="shared" si="7"/>
        <v>158.25</v>
      </c>
      <c r="D103" s="3">
        <f t="shared" si="5"/>
        <v>0.0193236715</v>
      </c>
      <c r="E103" s="1">
        <f t="shared" si="1"/>
        <v>4</v>
      </c>
      <c r="F103" s="1"/>
      <c r="G103" s="85">
        <f t="shared" si="4"/>
        <v>100</v>
      </c>
      <c r="H103" s="86" t="s">
        <v>163</v>
      </c>
      <c r="I103" s="86">
        <v>89.7</v>
      </c>
    </row>
    <row r="104" ht="15.75" customHeight="1">
      <c r="B104" s="1" t="str">
        <f t="shared" si="6"/>
        <v>Mar 21, 2024</v>
      </c>
      <c r="C104" s="1">
        <f t="shared" si="7"/>
        <v>164.5</v>
      </c>
      <c r="D104" s="3">
        <f t="shared" si="5"/>
        <v>0.03949447077</v>
      </c>
      <c r="E104" s="1">
        <f t="shared" si="1"/>
        <v>3</v>
      </c>
      <c r="F104" s="1"/>
      <c r="G104" s="85">
        <f t="shared" si="4"/>
        <v>101</v>
      </c>
      <c r="H104" s="86" t="s">
        <v>164</v>
      </c>
      <c r="I104" s="86">
        <v>88.25</v>
      </c>
    </row>
    <row r="105" ht="15.75" customHeight="1">
      <c r="B105" s="1" t="str">
        <f t="shared" si="6"/>
        <v>Mar 22, 2024</v>
      </c>
      <c r="C105" s="1">
        <f t="shared" si="7"/>
        <v>165.15</v>
      </c>
      <c r="D105" s="3">
        <f t="shared" si="5"/>
        <v>0.003951367781</v>
      </c>
      <c r="E105" s="1">
        <f t="shared" si="1"/>
        <v>2</v>
      </c>
      <c r="F105" s="1"/>
      <c r="G105" s="85">
        <f t="shared" si="4"/>
        <v>102</v>
      </c>
      <c r="H105" s="86" t="s">
        <v>165</v>
      </c>
      <c r="I105" s="86">
        <v>86.9</v>
      </c>
    </row>
    <row r="106" ht="15.75" customHeight="1">
      <c r="B106" s="1" t="str">
        <f t="shared" si="6"/>
        <v>Mar 26, 2024</v>
      </c>
      <c r="C106" s="1">
        <f t="shared" si="7"/>
        <v>167.45</v>
      </c>
      <c r="D106" s="3">
        <f t="shared" si="5"/>
        <v>0.01392673327</v>
      </c>
      <c r="E106" s="1">
        <v>1.0</v>
      </c>
      <c r="F106" s="1"/>
      <c r="G106" s="85">
        <f t="shared" si="4"/>
        <v>103</v>
      </c>
      <c r="H106" s="86" t="s">
        <v>166</v>
      </c>
      <c r="I106" s="86">
        <v>86.2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56"/>
    <col customWidth="1" min="2" max="2" width="22.67"/>
    <col customWidth="1" min="3" max="4" width="10.78"/>
    <col customWidth="1" hidden="1" min="5" max="8" width="10.56"/>
    <col customWidth="1" hidden="1" min="9" max="9" width="22.67"/>
    <col customWidth="1" min="10" max="11" width="10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1" t="s">
        <v>61</v>
      </c>
      <c r="C4" s="91" t="s">
        <v>62</v>
      </c>
      <c r="D4" s="91" t="s">
        <v>51</v>
      </c>
      <c r="E4" s="91"/>
      <c r="F4" s="91" t="s">
        <v>60</v>
      </c>
      <c r="G4" s="91"/>
      <c r="H4" s="91"/>
      <c r="I4" s="91" t="s">
        <v>59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>
        <v>103.0</v>
      </c>
      <c r="B5" s="91" t="str">
        <f t="shared" ref="B5:B107" si="1">VLOOKUP(A5,$H$5:$I$107,2)</f>
        <v>Oct 26, 2023</v>
      </c>
      <c r="C5" s="91">
        <f t="shared" ref="C5:C107" si="2">VLOOKUP(A5,$E$5:$F$107,2)</f>
        <v>70.2</v>
      </c>
      <c r="D5" s="91" t="s">
        <v>167</v>
      </c>
      <c r="E5" s="92">
        <v>1.0</v>
      </c>
      <c r="F5" s="91">
        <v>147.65</v>
      </c>
      <c r="G5" s="91"/>
      <c r="H5" s="92">
        <v>1.0</v>
      </c>
      <c r="I5" s="91" t="s">
        <v>63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f t="shared" ref="A6:A107" si="3">A5-1</f>
        <v>102</v>
      </c>
      <c r="B6" s="91" t="str">
        <f t="shared" si="1"/>
        <v>Oct 27, 2023</v>
      </c>
      <c r="C6" s="91">
        <f t="shared" si="2"/>
        <v>71.95</v>
      </c>
      <c r="D6" s="93">
        <f t="shared" ref="D6:D107" si="4">C6/C5-1</f>
        <v>0.02492877493</v>
      </c>
      <c r="E6" s="92">
        <f t="shared" ref="E6:E107" si="5">1+E5</f>
        <v>2</v>
      </c>
      <c r="F6" s="91">
        <v>145.7</v>
      </c>
      <c r="G6" s="91"/>
      <c r="H6" s="92">
        <f t="shared" ref="H6:H107" si="6">1+H5</f>
        <v>2</v>
      </c>
      <c r="I6" s="91" t="s">
        <v>65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si="3"/>
        <v>101</v>
      </c>
      <c r="B7" s="91" t="str">
        <f t="shared" si="1"/>
        <v>Oct 30, 2023</v>
      </c>
      <c r="C7" s="91">
        <f t="shared" si="2"/>
        <v>72.75</v>
      </c>
      <c r="D7" s="93">
        <f t="shared" si="4"/>
        <v>0.01111883252</v>
      </c>
      <c r="E7" s="92">
        <f t="shared" si="5"/>
        <v>3</v>
      </c>
      <c r="F7" s="91">
        <v>140.95</v>
      </c>
      <c r="G7" s="91"/>
      <c r="H7" s="92">
        <f t="shared" si="6"/>
        <v>3</v>
      </c>
      <c r="I7" s="91" t="s">
        <v>66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100</v>
      </c>
      <c r="B8" s="91" t="str">
        <f t="shared" si="1"/>
        <v>Oct 31, 2023</v>
      </c>
      <c r="C8" s="91">
        <f t="shared" si="2"/>
        <v>72.6</v>
      </c>
      <c r="D8" s="93">
        <f t="shared" si="4"/>
        <v>-0.00206185567</v>
      </c>
      <c r="E8" s="92">
        <f t="shared" si="5"/>
        <v>4</v>
      </c>
      <c r="F8" s="91">
        <v>135.25</v>
      </c>
      <c r="G8" s="91"/>
      <c r="H8" s="92">
        <f t="shared" si="6"/>
        <v>4</v>
      </c>
      <c r="I8" s="91" t="s">
        <v>68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99</v>
      </c>
      <c r="B9" s="91" t="str">
        <f t="shared" si="1"/>
        <v>Nov 01, 2023</v>
      </c>
      <c r="C9" s="91">
        <f t="shared" si="2"/>
        <v>72.95</v>
      </c>
      <c r="D9" s="93">
        <f t="shared" si="4"/>
        <v>0.004820936639</v>
      </c>
      <c r="E9" s="92">
        <f t="shared" si="5"/>
        <v>5</v>
      </c>
      <c r="F9" s="91">
        <v>133.2</v>
      </c>
      <c r="G9" s="91"/>
      <c r="H9" s="92">
        <f t="shared" si="6"/>
        <v>5</v>
      </c>
      <c r="I9" s="91" t="s">
        <v>69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98</v>
      </c>
      <c r="B10" s="91" t="str">
        <f t="shared" si="1"/>
        <v>Nov 02, 2023</v>
      </c>
      <c r="C10" s="91">
        <f t="shared" si="2"/>
        <v>73.05</v>
      </c>
      <c r="D10" s="93">
        <f t="shared" si="4"/>
        <v>0.001370801919</v>
      </c>
      <c r="E10" s="92">
        <f t="shared" si="5"/>
        <v>6</v>
      </c>
      <c r="F10" s="91">
        <v>135.2</v>
      </c>
      <c r="G10" s="91"/>
      <c r="H10" s="92">
        <f t="shared" si="6"/>
        <v>6</v>
      </c>
      <c r="I10" s="91" t="s">
        <v>70</v>
      </c>
      <c r="J10" s="2" t="s">
        <v>51</v>
      </c>
      <c r="K10" s="3">
        <f>AVERAGE(D6:D107)</f>
        <v>0.008272541243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97</v>
      </c>
      <c r="B11" s="91" t="str">
        <f t="shared" si="1"/>
        <v>Nov 03, 2023</v>
      </c>
      <c r="C11" s="91">
        <f t="shared" si="2"/>
        <v>72.15</v>
      </c>
      <c r="D11" s="93">
        <f t="shared" si="4"/>
        <v>-0.01232032854</v>
      </c>
      <c r="E11" s="92">
        <f t="shared" si="5"/>
        <v>7</v>
      </c>
      <c r="F11" s="91">
        <v>134.95</v>
      </c>
      <c r="G11" s="91"/>
      <c r="H11" s="92">
        <f t="shared" si="6"/>
        <v>7</v>
      </c>
      <c r="I11" s="91" t="s">
        <v>71</v>
      </c>
      <c r="J11" s="2" t="s">
        <v>67</v>
      </c>
      <c r="K11" s="3">
        <f>STDEV(D6:D107)</f>
        <v>0.04513585564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96</v>
      </c>
      <c r="B12" s="91" t="str">
        <f t="shared" si="1"/>
        <v>Nov 06, 2023</v>
      </c>
      <c r="C12" s="91">
        <f t="shared" si="2"/>
        <v>72.8</v>
      </c>
      <c r="D12" s="93">
        <f t="shared" si="4"/>
        <v>0.009009009009</v>
      </c>
      <c r="E12" s="92">
        <f t="shared" si="5"/>
        <v>8</v>
      </c>
      <c r="F12" s="91">
        <v>136.95</v>
      </c>
      <c r="G12" s="91"/>
      <c r="H12" s="92">
        <f t="shared" si="6"/>
        <v>8</v>
      </c>
      <c r="I12" s="91" t="s">
        <v>72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95</v>
      </c>
      <c r="B13" s="91" t="str">
        <f t="shared" si="1"/>
        <v>Nov 07, 2023</v>
      </c>
      <c r="C13" s="91">
        <f t="shared" si="2"/>
        <v>73.05</v>
      </c>
      <c r="D13" s="93">
        <f t="shared" si="4"/>
        <v>0.003434065934</v>
      </c>
      <c r="E13" s="92">
        <f t="shared" si="5"/>
        <v>9</v>
      </c>
      <c r="F13" s="91">
        <v>140.25</v>
      </c>
      <c r="G13" s="91"/>
      <c r="H13" s="92">
        <f t="shared" si="6"/>
        <v>9</v>
      </c>
      <c r="I13" s="91" t="s">
        <v>73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94</v>
      </c>
      <c r="B14" s="91" t="str">
        <f t="shared" si="1"/>
        <v>Nov 08, 2023</v>
      </c>
      <c r="C14" s="91">
        <f t="shared" si="2"/>
        <v>75.6</v>
      </c>
      <c r="D14" s="93">
        <f t="shared" si="4"/>
        <v>0.03490759754</v>
      </c>
      <c r="E14" s="92">
        <f t="shared" si="5"/>
        <v>10</v>
      </c>
      <c r="F14" s="91">
        <v>124.25</v>
      </c>
      <c r="G14" s="91"/>
      <c r="H14" s="92">
        <f t="shared" si="6"/>
        <v>10</v>
      </c>
      <c r="I14" s="91" t="s">
        <v>74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93</v>
      </c>
      <c r="B15" s="91" t="str">
        <f t="shared" si="1"/>
        <v>Nov 09, 2023</v>
      </c>
      <c r="C15" s="91">
        <f t="shared" si="2"/>
        <v>74.6</v>
      </c>
      <c r="D15" s="93">
        <f t="shared" si="4"/>
        <v>-0.01322751323</v>
      </c>
      <c r="E15" s="92">
        <f t="shared" si="5"/>
        <v>11</v>
      </c>
      <c r="F15" s="91">
        <v>136.75</v>
      </c>
      <c r="G15" s="91"/>
      <c r="H15" s="92">
        <f t="shared" si="6"/>
        <v>11</v>
      </c>
      <c r="I15" s="91" t="s">
        <v>75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92</v>
      </c>
      <c r="B16" s="91" t="str">
        <f t="shared" si="1"/>
        <v>Nov 10, 2023</v>
      </c>
      <c r="C16" s="91">
        <f t="shared" si="2"/>
        <v>74.1</v>
      </c>
      <c r="D16" s="93">
        <f t="shared" si="4"/>
        <v>-0.006702412869</v>
      </c>
      <c r="E16" s="92">
        <f t="shared" si="5"/>
        <v>12</v>
      </c>
      <c r="F16" s="91">
        <v>141.1</v>
      </c>
      <c r="G16" s="91"/>
      <c r="H16" s="92">
        <f t="shared" si="6"/>
        <v>12</v>
      </c>
      <c r="I16" s="91" t="s">
        <v>76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91</v>
      </c>
      <c r="B17" s="91" t="str">
        <f t="shared" si="1"/>
        <v>Nov 10, 2023</v>
      </c>
      <c r="C17" s="91">
        <f t="shared" si="2"/>
        <v>73.65</v>
      </c>
      <c r="D17" s="93">
        <f t="shared" si="4"/>
        <v>-0.006072874494</v>
      </c>
      <c r="E17" s="92">
        <f t="shared" si="5"/>
        <v>13</v>
      </c>
      <c r="F17" s="91">
        <v>143.7</v>
      </c>
      <c r="G17" s="91"/>
      <c r="H17" s="92">
        <f t="shared" si="6"/>
        <v>13</v>
      </c>
      <c r="I17" s="91" t="s">
        <v>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90</v>
      </c>
      <c r="B18" s="91" t="str">
        <f t="shared" si="1"/>
        <v>Nov 13, 2023</v>
      </c>
      <c r="C18" s="91">
        <f t="shared" si="2"/>
        <v>73.5</v>
      </c>
      <c r="D18" s="93">
        <f t="shared" si="4"/>
        <v>-0.002036659878</v>
      </c>
      <c r="E18" s="92">
        <f t="shared" si="5"/>
        <v>14</v>
      </c>
      <c r="F18" s="91">
        <v>140.5</v>
      </c>
      <c r="G18" s="91"/>
      <c r="H18" s="92">
        <f t="shared" si="6"/>
        <v>14</v>
      </c>
      <c r="I18" s="91" t="s">
        <v>78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89</v>
      </c>
      <c r="B19" s="91" t="str">
        <f t="shared" si="1"/>
        <v>Nov 15, 2023</v>
      </c>
      <c r="C19" s="91">
        <f t="shared" si="2"/>
        <v>73.1</v>
      </c>
      <c r="D19" s="93">
        <f t="shared" si="4"/>
        <v>-0.005442176871</v>
      </c>
      <c r="E19" s="92">
        <f t="shared" si="5"/>
        <v>15</v>
      </c>
      <c r="F19" s="91">
        <v>145.05</v>
      </c>
      <c r="G19" s="91"/>
      <c r="H19" s="92">
        <f t="shared" si="6"/>
        <v>15</v>
      </c>
      <c r="I19" s="91" t="s">
        <v>79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88</v>
      </c>
      <c r="B20" s="91" t="str">
        <f t="shared" si="1"/>
        <v>Nov 16, 2023</v>
      </c>
      <c r="C20" s="91">
        <f t="shared" si="2"/>
        <v>76.9</v>
      </c>
      <c r="D20" s="93">
        <f t="shared" si="4"/>
        <v>0.05198358413</v>
      </c>
      <c r="E20" s="92">
        <f t="shared" si="5"/>
        <v>16</v>
      </c>
      <c r="F20" s="91">
        <v>145.55</v>
      </c>
      <c r="G20" s="91"/>
      <c r="H20" s="92">
        <f t="shared" si="6"/>
        <v>16</v>
      </c>
      <c r="I20" s="91" t="s">
        <v>80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87</v>
      </c>
      <c r="B21" s="91" t="str">
        <f t="shared" si="1"/>
        <v>Nov 17, 2023</v>
      </c>
      <c r="C21" s="91">
        <f t="shared" si="2"/>
        <v>76.1</v>
      </c>
      <c r="D21" s="93">
        <f t="shared" si="4"/>
        <v>-0.01040312094</v>
      </c>
      <c r="E21" s="92">
        <f t="shared" si="5"/>
        <v>17</v>
      </c>
      <c r="F21" s="91">
        <v>147.4</v>
      </c>
      <c r="G21" s="91"/>
      <c r="H21" s="92">
        <f t="shared" si="6"/>
        <v>17</v>
      </c>
      <c r="I21" s="91" t="s">
        <v>81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86</v>
      </c>
      <c r="B22" s="91" t="str">
        <f t="shared" si="1"/>
        <v>Nov 20, 2023</v>
      </c>
      <c r="C22" s="91">
        <f t="shared" si="2"/>
        <v>76.85</v>
      </c>
      <c r="D22" s="93">
        <f t="shared" si="4"/>
        <v>0.009855453351</v>
      </c>
      <c r="E22" s="92">
        <f t="shared" si="5"/>
        <v>18</v>
      </c>
      <c r="F22" s="91">
        <v>146.75</v>
      </c>
      <c r="G22" s="91"/>
      <c r="H22" s="92">
        <f t="shared" si="6"/>
        <v>18</v>
      </c>
      <c r="I22" s="91" t="s">
        <v>82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85</v>
      </c>
      <c r="B23" s="91" t="str">
        <f t="shared" si="1"/>
        <v>Nov 21, 2023</v>
      </c>
      <c r="C23" s="91">
        <f t="shared" si="2"/>
        <v>76.7</v>
      </c>
      <c r="D23" s="93">
        <f t="shared" si="4"/>
        <v>-0.001951854262</v>
      </c>
      <c r="E23" s="92">
        <f t="shared" si="5"/>
        <v>19</v>
      </c>
      <c r="F23" s="91">
        <v>147.4</v>
      </c>
      <c r="G23" s="91"/>
      <c r="H23" s="92">
        <f t="shared" si="6"/>
        <v>19</v>
      </c>
      <c r="I23" s="91" t="s">
        <v>83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84</v>
      </c>
      <c r="B24" s="91" t="str">
        <f t="shared" si="1"/>
        <v>Nov 22, 2023</v>
      </c>
      <c r="C24" s="91">
        <f t="shared" si="2"/>
        <v>76.5</v>
      </c>
      <c r="D24" s="93">
        <f t="shared" si="4"/>
        <v>-0.00260756193</v>
      </c>
      <c r="E24" s="92">
        <f t="shared" si="5"/>
        <v>20</v>
      </c>
      <c r="F24" s="91">
        <v>151.6</v>
      </c>
      <c r="G24" s="91"/>
      <c r="H24" s="92">
        <f t="shared" si="6"/>
        <v>20</v>
      </c>
      <c r="I24" s="91" t="s">
        <v>84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83</v>
      </c>
      <c r="B25" s="91" t="str">
        <f t="shared" si="1"/>
        <v>Nov 23, 2023</v>
      </c>
      <c r="C25" s="91">
        <f t="shared" si="2"/>
        <v>76.1</v>
      </c>
      <c r="D25" s="93">
        <f t="shared" si="4"/>
        <v>-0.00522875817</v>
      </c>
      <c r="E25" s="92">
        <f t="shared" si="5"/>
        <v>21</v>
      </c>
      <c r="F25" s="91">
        <v>152.3</v>
      </c>
      <c r="G25" s="91"/>
      <c r="H25" s="92">
        <f t="shared" si="6"/>
        <v>21</v>
      </c>
      <c r="I25" s="91" t="s">
        <v>85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82</v>
      </c>
      <c r="B26" s="91" t="str">
        <f t="shared" si="1"/>
        <v>Nov 24, 2023</v>
      </c>
      <c r="C26" s="91">
        <f t="shared" si="2"/>
        <v>75.6</v>
      </c>
      <c r="D26" s="93">
        <f t="shared" si="4"/>
        <v>-0.006570302234</v>
      </c>
      <c r="E26" s="92">
        <f t="shared" si="5"/>
        <v>22</v>
      </c>
      <c r="F26" s="91">
        <v>153.2</v>
      </c>
      <c r="G26" s="91"/>
      <c r="H26" s="92">
        <f t="shared" si="6"/>
        <v>22</v>
      </c>
      <c r="I26" s="91" t="s">
        <v>86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81</v>
      </c>
      <c r="B27" s="91" t="str">
        <f t="shared" si="1"/>
        <v>Nov 28, 2023</v>
      </c>
      <c r="C27" s="91">
        <f t="shared" si="2"/>
        <v>75.3</v>
      </c>
      <c r="D27" s="93">
        <f t="shared" si="4"/>
        <v>-0.003968253968</v>
      </c>
      <c r="E27" s="92">
        <f t="shared" si="5"/>
        <v>23</v>
      </c>
      <c r="F27" s="91">
        <v>152.2</v>
      </c>
      <c r="G27" s="91"/>
      <c r="H27" s="92">
        <f t="shared" si="6"/>
        <v>23</v>
      </c>
      <c r="I27" s="91" t="s">
        <v>87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80</v>
      </c>
      <c r="B28" s="91" t="str">
        <f t="shared" si="1"/>
        <v>Nov 29, 2023</v>
      </c>
      <c r="C28" s="91">
        <f t="shared" si="2"/>
        <v>74.65</v>
      </c>
      <c r="D28" s="93">
        <f t="shared" si="4"/>
        <v>-0.008632138114</v>
      </c>
      <c r="E28" s="92">
        <f t="shared" si="5"/>
        <v>24</v>
      </c>
      <c r="F28" s="91">
        <v>154.2</v>
      </c>
      <c r="G28" s="91"/>
      <c r="H28" s="92">
        <f t="shared" si="6"/>
        <v>24</v>
      </c>
      <c r="I28" s="91" t="s">
        <v>88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79</v>
      </c>
      <c r="B29" s="91" t="str">
        <f t="shared" si="1"/>
        <v>Nov 30, 2023</v>
      </c>
      <c r="C29" s="91">
        <f t="shared" si="2"/>
        <v>75.4</v>
      </c>
      <c r="D29" s="93">
        <f t="shared" si="4"/>
        <v>0.01004688547</v>
      </c>
      <c r="E29" s="92">
        <f t="shared" si="5"/>
        <v>25</v>
      </c>
      <c r="F29" s="91">
        <v>158.5</v>
      </c>
      <c r="G29" s="91"/>
      <c r="H29" s="92">
        <f t="shared" si="6"/>
        <v>25</v>
      </c>
      <c r="I29" s="91" t="s">
        <v>89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78</v>
      </c>
      <c r="B30" s="91" t="str">
        <f t="shared" si="1"/>
        <v>Dec 01, 2023</v>
      </c>
      <c r="C30" s="91">
        <f t="shared" si="2"/>
        <v>76.4</v>
      </c>
      <c r="D30" s="93">
        <f t="shared" si="4"/>
        <v>0.01326259947</v>
      </c>
      <c r="E30" s="92">
        <f t="shared" si="5"/>
        <v>26</v>
      </c>
      <c r="F30" s="91">
        <v>158.65</v>
      </c>
      <c r="G30" s="91"/>
      <c r="H30" s="92">
        <f t="shared" si="6"/>
        <v>26</v>
      </c>
      <c r="I30" s="91" t="s">
        <v>90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77</v>
      </c>
      <c r="B31" s="91" t="str">
        <f t="shared" si="1"/>
        <v>Dec 04, 2023</v>
      </c>
      <c r="C31" s="91">
        <f t="shared" si="2"/>
        <v>76.15</v>
      </c>
      <c r="D31" s="93">
        <f t="shared" si="4"/>
        <v>-0.003272251309</v>
      </c>
      <c r="E31" s="92">
        <f t="shared" si="5"/>
        <v>27</v>
      </c>
      <c r="F31" s="91">
        <v>155.45</v>
      </c>
      <c r="G31" s="91"/>
      <c r="H31" s="92">
        <f t="shared" si="6"/>
        <v>27</v>
      </c>
      <c r="I31" s="91" t="s">
        <v>91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76</v>
      </c>
      <c r="B32" s="91" t="str">
        <f t="shared" si="1"/>
        <v>Dec 05, 2023</v>
      </c>
      <c r="C32" s="91">
        <f t="shared" si="2"/>
        <v>75.8</v>
      </c>
      <c r="D32" s="93">
        <f t="shared" si="4"/>
        <v>-0.004596191727</v>
      </c>
      <c r="E32" s="92">
        <f t="shared" si="5"/>
        <v>28</v>
      </c>
      <c r="F32" s="91">
        <v>158.9</v>
      </c>
      <c r="G32" s="91"/>
      <c r="H32" s="92">
        <f t="shared" si="6"/>
        <v>28</v>
      </c>
      <c r="I32" s="91" t="s">
        <v>92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75</v>
      </c>
      <c r="B33" s="91" t="str">
        <f t="shared" si="1"/>
        <v>Dec 06, 2023</v>
      </c>
      <c r="C33" s="91">
        <f t="shared" si="2"/>
        <v>76.05</v>
      </c>
      <c r="D33" s="93">
        <f t="shared" si="4"/>
        <v>0.003298153034</v>
      </c>
      <c r="E33" s="92">
        <f t="shared" si="5"/>
        <v>29</v>
      </c>
      <c r="F33" s="91">
        <v>154.3</v>
      </c>
      <c r="G33" s="91"/>
      <c r="H33" s="92">
        <f t="shared" si="6"/>
        <v>29</v>
      </c>
      <c r="I33" s="91" t="s">
        <v>93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74</v>
      </c>
      <c r="B34" s="91" t="str">
        <f t="shared" si="1"/>
        <v>Dec 07, 2023</v>
      </c>
      <c r="C34" s="91">
        <f t="shared" si="2"/>
        <v>76.6</v>
      </c>
      <c r="D34" s="93">
        <f t="shared" si="4"/>
        <v>0.007232084155</v>
      </c>
      <c r="E34" s="92">
        <f t="shared" si="5"/>
        <v>30</v>
      </c>
      <c r="F34" s="91">
        <v>153.45</v>
      </c>
      <c r="G34" s="91"/>
      <c r="H34" s="92">
        <f t="shared" si="6"/>
        <v>30</v>
      </c>
      <c r="I34" s="91" t="s">
        <v>94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73</v>
      </c>
      <c r="B35" s="91" t="str">
        <f t="shared" si="1"/>
        <v>Dec 08, 2023</v>
      </c>
      <c r="C35" s="91">
        <f t="shared" si="2"/>
        <v>82.2</v>
      </c>
      <c r="D35" s="93">
        <f t="shared" si="4"/>
        <v>0.07310704961</v>
      </c>
      <c r="E35" s="92">
        <f t="shared" si="5"/>
        <v>31</v>
      </c>
      <c r="F35" s="91">
        <v>132.95</v>
      </c>
      <c r="G35" s="91"/>
      <c r="H35" s="92">
        <f t="shared" si="6"/>
        <v>31</v>
      </c>
      <c r="I35" s="91" t="s">
        <v>95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72</v>
      </c>
      <c r="B36" s="91" t="str">
        <f t="shared" si="1"/>
        <v>Dec 11, 2023</v>
      </c>
      <c r="C36" s="91">
        <f t="shared" si="2"/>
        <v>83.05</v>
      </c>
      <c r="D36" s="93">
        <f t="shared" si="4"/>
        <v>0.0103406326</v>
      </c>
      <c r="E36" s="92">
        <f t="shared" si="5"/>
        <v>32</v>
      </c>
      <c r="F36" s="91">
        <v>153.7</v>
      </c>
      <c r="G36" s="91"/>
      <c r="H36" s="92">
        <f t="shared" si="6"/>
        <v>32</v>
      </c>
      <c r="I36" s="91" t="s">
        <v>96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71</v>
      </c>
      <c r="B37" s="91" t="str">
        <f t="shared" si="1"/>
        <v>Dec 12, 2023</v>
      </c>
      <c r="C37" s="91">
        <f t="shared" si="2"/>
        <v>83.5</v>
      </c>
      <c r="D37" s="93">
        <f t="shared" si="4"/>
        <v>0.005418422637</v>
      </c>
      <c r="E37" s="92">
        <f t="shared" si="5"/>
        <v>33</v>
      </c>
      <c r="F37" s="91">
        <v>161.95</v>
      </c>
      <c r="G37" s="91"/>
      <c r="H37" s="92">
        <f t="shared" si="6"/>
        <v>33</v>
      </c>
      <c r="I37" s="91" t="s">
        <v>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70</v>
      </c>
      <c r="B38" s="91" t="str">
        <f t="shared" si="1"/>
        <v>Dec 13, 2023</v>
      </c>
      <c r="C38" s="91">
        <f t="shared" si="2"/>
        <v>92.65</v>
      </c>
      <c r="D38" s="93">
        <f t="shared" si="4"/>
        <v>0.1095808383</v>
      </c>
      <c r="E38" s="92">
        <f t="shared" si="5"/>
        <v>34</v>
      </c>
      <c r="F38" s="91">
        <v>162.5</v>
      </c>
      <c r="G38" s="91"/>
      <c r="H38" s="92">
        <f t="shared" si="6"/>
        <v>34</v>
      </c>
      <c r="I38" s="91" t="s">
        <v>98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69</v>
      </c>
      <c r="B39" s="91" t="str">
        <f t="shared" si="1"/>
        <v>Dec 14, 2023</v>
      </c>
      <c r="C39" s="91">
        <f t="shared" si="2"/>
        <v>94.7</v>
      </c>
      <c r="D39" s="93">
        <f t="shared" si="4"/>
        <v>0.02212628171</v>
      </c>
      <c r="E39" s="92">
        <f t="shared" si="5"/>
        <v>35</v>
      </c>
      <c r="F39" s="91">
        <v>160.9</v>
      </c>
      <c r="G39" s="91"/>
      <c r="H39" s="92">
        <f t="shared" si="6"/>
        <v>35</v>
      </c>
      <c r="I39" s="91" t="s">
        <v>99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68</v>
      </c>
      <c r="B40" s="91" t="str">
        <f t="shared" si="1"/>
        <v>Dec 15, 2023</v>
      </c>
      <c r="C40" s="91">
        <f t="shared" si="2"/>
        <v>94.35</v>
      </c>
      <c r="D40" s="93">
        <f t="shared" si="4"/>
        <v>-0.003695881732</v>
      </c>
      <c r="E40" s="92">
        <f t="shared" si="5"/>
        <v>36</v>
      </c>
      <c r="F40" s="91">
        <v>160.55</v>
      </c>
      <c r="G40" s="91"/>
      <c r="H40" s="92">
        <f t="shared" si="6"/>
        <v>36</v>
      </c>
      <c r="I40" s="91" t="s">
        <v>100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67</v>
      </c>
      <c r="B41" s="91" t="str">
        <f t="shared" si="1"/>
        <v>Dec 18, 2023</v>
      </c>
      <c r="C41" s="91">
        <f t="shared" si="2"/>
        <v>100.1</v>
      </c>
      <c r="D41" s="93">
        <f t="shared" si="4"/>
        <v>0.06094329624</v>
      </c>
      <c r="E41" s="92">
        <f t="shared" si="5"/>
        <v>37</v>
      </c>
      <c r="F41" s="91">
        <v>168.95</v>
      </c>
      <c r="G41" s="91"/>
      <c r="H41" s="92">
        <f t="shared" si="6"/>
        <v>37</v>
      </c>
      <c r="I41" s="91" t="s">
        <v>101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66</v>
      </c>
      <c r="B42" s="91" t="str">
        <f t="shared" si="1"/>
        <v>Dec 19, 2023</v>
      </c>
      <c r="C42" s="91">
        <f t="shared" si="2"/>
        <v>92.45</v>
      </c>
      <c r="D42" s="93">
        <f t="shared" si="4"/>
        <v>-0.07642357642</v>
      </c>
      <c r="E42" s="92">
        <f t="shared" si="5"/>
        <v>38</v>
      </c>
      <c r="F42" s="91">
        <v>169.9</v>
      </c>
      <c r="G42" s="91"/>
      <c r="H42" s="92">
        <f t="shared" si="6"/>
        <v>38</v>
      </c>
      <c r="I42" s="91" t="s">
        <v>102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65</v>
      </c>
      <c r="B43" s="91" t="str">
        <f t="shared" si="1"/>
        <v>Dec 20, 2023</v>
      </c>
      <c r="C43" s="91">
        <f t="shared" si="2"/>
        <v>98.85</v>
      </c>
      <c r="D43" s="93">
        <f t="shared" si="4"/>
        <v>0.06922660898</v>
      </c>
      <c r="E43" s="92">
        <f t="shared" si="5"/>
        <v>39</v>
      </c>
      <c r="F43" s="91">
        <v>175.15</v>
      </c>
      <c r="G43" s="91"/>
      <c r="H43" s="92">
        <f t="shared" si="6"/>
        <v>39</v>
      </c>
      <c r="I43" s="91" t="s">
        <v>103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64</v>
      </c>
      <c r="B44" s="91" t="str">
        <f t="shared" si="1"/>
        <v>Dec 21, 2023</v>
      </c>
      <c r="C44" s="91">
        <f t="shared" si="2"/>
        <v>97.75</v>
      </c>
      <c r="D44" s="93">
        <f t="shared" si="4"/>
        <v>-0.01112797167</v>
      </c>
      <c r="E44" s="92">
        <f t="shared" si="5"/>
        <v>40</v>
      </c>
      <c r="F44" s="91">
        <v>166.65</v>
      </c>
      <c r="G44" s="91"/>
      <c r="H44" s="92">
        <f t="shared" si="6"/>
        <v>40</v>
      </c>
      <c r="I44" s="91" t="s">
        <v>104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63</v>
      </c>
      <c r="B45" s="91" t="str">
        <f t="shared" si="1"/>
        <v>Dec 22, 2023</v>
      </c>
      <c r="C45" s="91">
        <f t="shared" si="2"/>
        <v>97.4</v>
      </c>
      <c r="D45" s="93">
        <f t="shared" si="4"/>
        <v>-0.00358056266</v>
      </c>
      <c r="E45" s="92">
        <f t="shared" si="5"/>
        <v>41</v>
      </c>
      <c r="F45" s="91">
        <v>170.85</v>
      </c>
      <c r="G45" s="91"/>
      <c r="H45" s="92">
        <f t="shared" si="6"/>
        <v>41</v>
      </c>
      <c r="I45" s="91" t="s">
        <v>105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62</v>
      </c>
      <c r="B46" s="91" t="str">
        <f t="shared" si="1"/>
        <v>Dec 26, 2023</v>
      </c>
      <c r="C46" s="91">
        <f t="shared" si="2"/>
        <v>96.7</v>
      </c>
      <c r="D46" s="93">
        <f t="shared" si="4"/>
        <v>-0.007186858316</v>
      </c>
      <c r="E46" s="92">
        <f t="shared" si="5"/>
        <v>42</v>
      </c>
      <c r="F46" s="91">
        <v>173.85</v>
      </c>
      <c r="G46" s="91"/>
      <c r="H46" s="92">
        <f t="shared" si="6"/>
        <v>42</v>
      </c>
      <c r="I46" s="91" t="s">
        <v>106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61</v>
      </c>
      <c r="B47" s="91" t="str">
        <f t="shared" si="1"/>
        <v>Dec 27, 2023</v>
      </c>
      <c r="C47" s="91">
        <f t="shared" si="2"/>
        <v>96.45</v>
      </c>
      <c r="D47" s="93">
        <f t="shared" si="4"/>
        <v>-0.002585315408</v>
      </c>
      <c r="E47" s="92">
        <f t="shared" si="5"/>
        <v>43</v>
      </c>
      <c r="F47" s="91">
        <v>171.9</v>
      </c>
      <c r="G47" s="91"/>
      <c r="H47" s="92">
        <f t="shared" si="6"/>
        <v>43</v>
      </c>
      <c r="I47" s="91" t="s">
        <v>107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60</v>
      </c>
      <c r="B48" s="91" t="str">
        <f t="shared" si="1"/>
        <v>Dec 28, 2023</v>
      </c>
      <c r="C48" s="91">
        <f t="shared" si="2"/>
        <v>99.35</v>
      </c>
      <c r="D48" s="93">
        <f t="shared" si="4"/>
        <v>0.03006739243</v>
      </c>
      <c r="E48" s="92">
        <f t="shared" si="5"/>
        <v>44</v>
      </c>
      <c r="F48" s="91">
        <v>161.3</v>
      </c>
      <c r="G48" s="91"/>
      <c r="H48" s="92">
        <f t="shared" si="6"/>
        <v>44</v>
      </c>
      <c r="I48" s="91" t="s">
        <v>108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59</v>
      </c>
      <c r="B49" s="91" t="str">
        <f t="shared" si="1"/>
        <v>Dec 29, 2023</v>
      </c>
      <c r="C49" s="91">
        <f t="shared" si="2"/>
        <v>100.4</v>
      </c>
      <c r="D49" s="93">
        <f t="shared" si="4"/>
        <v>0.01056869653</v>
      </c>
      <c r="E49" s="92">
        <f t="shared" si="5"/>
        <v>45</v>
      </c>
      <c r="F49" s="91">
        <v>160.25</v>
      </c>
      <c r="G49" s="91"/>
      <c r="H49" s="92">
        <f t="shared" si="6"/>
        <v>45</v>
      </c>
      <c r="I49" s="91" t="s">
        <v>109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58</v>
      </c>
      <c r="B50" s="91" t="str">
        <f t="shared" si="1"/>
        <v>Jan 01, 2024</v>
      </c>
      <c r="C50" s="91">
        <f t="shared" si="2"/>
        <v>100</v>
      </c>
      <c r="D50" s="93">
        <f t="shared" si="4"/>
        <v>-0.003984063745</v>
      </c>
      <c r="E50" s="92">
        <f t="shared" si="5"/>
        <v>46</v>
      </c>
      <c r="F50" s="91">
        <v>146.25</v>
      </c>
      <c r="G50" s="91"/>
      <c r="H50" s="92">
        <f t="shared" si="6"/>
        <v>46</v>
      </c>
      <c r="I50" s="91" t="s">
        <v>110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57</v>
      </c>
      <c r="B51" s="91" t="str">
        <f t="shared" si="1"/>
        <v>Jan 02, 2024</v>
      </c>
      <c r="C51" s="91">
        <f t="shared" si="2"/>
        <v>100.9</v>
      </c>
      <c r="D51" s="93">
        <f t="shared" si="4"/>
        <v>0.009</v>
      </c>
      <c r="E51" s="92">
        <f t="shared" si="5"/>
        <v>47</v>
      </c>
      <c r="F51" s="91">
        <v>149.1</v>
      </c>
      <c r="G51" s="91"/>
      <c r="H51" s="92">
        <f t="shared" si="6"/>
        <v>47</v>
      </c>
      <c r="I51" s="91" t="s">
        <v>111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56</v>
      </c>
      <c r="B52" s="91" t="str">
        <f t="shared" si="1"/>
        <v>Jan 03, 2024</v>
      </c>
      <c r="C52" s="91">
        <f t="shared" si="2"/>
        <v>101.3</v>
      </c>
      <c r="D52" s="93">
        <f t="shared" si="4"/>
        <v>0.00396432111</v>
      </c>
      <c r="E52" s="92">
        <f t="shared" si="5"/>
        <v>48</v>
      </c>
      <c r="F52" s="91">
        <v>141.85</v>
      </c>
      <c r="G52" s="91"/>
      <c r="H52" s="92">
        <f t="shared" si="6"/>
        <v>48</v>
      </c>
      <c r="I52" s="91" t="s">
        <v>112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55</v>
      </c>
      <c r="B53" s="91" t="str">
        <f t="shared" si="1"/>
        <v>Jan 04, 2024</v>
      </c>
      <c r="C53" s="91">
        <f t="shared" si="2"/>
        <v>100.75</v>
      </c>
      <c r="D53" s="93">
        <f t="shared" si="4"/>
        <v>-0.005429417572</v>
      </c>
      <c r="E53" s="92">
        <f t="shared" si="5"/>
        <v>49</v>
      </c>
      <c r="F53" s="91">
        <v>113.4</v>
      </c>
      <c r="G53" s="91"/>
      <c r="H53" s="92">
        <f t="shared" si="6"/>
        <v>49</v>
      </c>
      <c r="I53" s="91" t="s">
        <v>113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54</v>
      </c>
      <c r="B54" s="91" t="str">
        <f t="shared" si="1"/>
        <v>Jan 05, 2024</v>
      </c>
      <c r="C54" s="91">
        <f t="shared" si="2"/>
        <v>99.95</v>
      </c>
      <c r="D54" s="93">
        <f t="shared" si="4"/>
        <v>-0.00794044665</v>
      </c>
      <c r="E54" s="92">
        <f t="shared" si="5"/>
        <v>50</v>
      </c>
      <c r="F54" s="91">
        <v>113.4</v>
      </c>
      <c r="G54" s="91"/>
      <c r="H54" s="92">
        <f t="shared" si="6"/>
        <v>50</v>
      </c>
      <c r="I54" s="91" t="s">
        <v>114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53</v>
      </c>
      <c r="B55" s="91" t="str">
        <f t="shared" si="1"/>
        <v>Jan 08, 2024</v>
      </c>
      <c r="C55" s="91">
        <f t="shared" si="2"/>
        <v>100.1</v>
      </c>
      <c r="D55" s="93">
        <f t="shared" si="4"/>
        <v>0.001500750375</v>
      </c>
      <c r="E55" s="92">
        <f t="shared" si="5"/>
        <v>51</v>
      </c>
      <c r="F55" s="91">
        <v>106.85</v>
      </c>
      <c r="G55" s="91"/>
      <c r="H55" s="92">
        <f t="shared" si="6"/>
        <v>51</v>
      </c>
      <c r="I55" s="91" t="s">
        <v>115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52</v>
      </c>
      <c r="B56" s="91" t="str">
        <f t="shared" si="1"/>
        <v>Jan 09, 2024</v>
      </c>
      <c r="C56" s="91">
        <f t="shared" si="2"/>
        <v>103.05</v>
      </c>
      <c r="D56" s="93">
        <f t="shared" si="4"/>
        <v>0.02947052947</v>
      </c>
      <c r="E56" s="92">
        <f t="shared" si="5"/>
        <v>52</v>
      </c>
      <c r="F56" s="91">
        <v>103.05</v>
      </c>
      <c r="G56" s="91"/>
      <c r="H56" s="92">
        <f t="shared" si="6"/>
        <v>52</v>
      </c>
      <c r="I56" s="91" t="s">
        <v>116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51</v>
      </c>
      <c r="B57" s="91" t="str">
        <f t="shared" si="1"/>
        <v>Jan 10, 2024</v>
      </c>
      <c r="C57" s="91">
        <f t="shared" si="2"/>
        <v>106.85</v>
      </c>
      <c r="D57" s="93">
        <f t="shared" si="4"/>
        <v>0.03687530325</v>
      </c>
      <c r="E57" s="92">
        <f t="shared" si="5"/>
        <v>53</v>
      </c>
      <c r="F57" s="91">
        <v>100.1</v>
      </c>
      <c r="G57" s="91"/>
      <c r="H57" s="92">
        <f t="shared" si="6"/>
        <v>53</v>
      </c>
      <c r="I57" s="91" t="s">
        <v>117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50</v>
      </c>
      <c r="B58" s="91" t="str">
        <f t="shared" si="1"/>
        <v>Jan 11, 2024</v>
      </c>
      <c r="C58" s="91">
        <f t="shared" si="2"/>
        <v>113.4</v>
      </c>
      <c r="D58" s="93">
        <f t="shared" si="4"/>
        <v>0.0613008891</v>
      </c>
      <c r="E58" s="92">
        <f t="shared" si="5"/>
        <v>54</v>
      </c>
      <c r="F58" s="91">
        <v>99.95</v>
      </c>
      <c r="G58" s="91"/>
      <c r="H58" s="92">
        <f t="shared" si="6"/>
        <v>54</v>
      </c>
      <c r="I58" s="91" t="s">
        <v>118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49</v>
      </c>
      <c r="B59" s="91" t="str">
        <f t="shared" si="1"/>
        <v>Jan 12, 2024</v>
      </c>
      <c r="C59" s="91">
        <f t="shared" si="2"/>
        <v>113.4</v>
      </c>
      <c r="D59" s="93">
        <f t="shared" si="4"/>
        <v>0</v>
      </c>
      <c r="E59" s="92">
        <f t="shared" si="5"/>
        <v>55</v>
      </c>
      <c r="F59" s="91">
        <v>100.75</v>
      </c>
      <c r="G59" s="91"/>
      <c r="H59" s="92">
        <f t="shared" si="6"/>
        <v>55</v>
      </c>
      <c r="I59" s="91" t="s">
        <v>119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48</v>
      </c>
      <c r="B60" s="91" t="str">
        <f t="shared" si="1"/>
        <v>Jan 15, 2024</v>
      </c>
      <c r="C60" s="91">
        <f t="shared" si="2"/>
        <v>141.85</v>
      </c>
      <c r="D60" s="93">
        <f t="shared" si="4"/>
        <v>0.2508818342</v>
      </c>
      <c r="E60" s="92">
        <f t="shared" si="5"/>
        <v>56</v>
      </c>
      <c r="F60" s="91">
        <v>101.3</v>
      </c>
      <c r="G60" s="91"/>
      <c r="H60" s="92">
        <f t="shared" si="6"/>
        <v>56</v>
      </c>
      <c r="I60" s="91" t="s">
        <v>120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47</v>
      </c>
      <c r="B61" s="91" t="str">
        <f t="shared" si="1"/>
        <v>Jan 16, 2024</v>
      </c>
      <c r="C61" s="91">
        <f t="shared" si="2"/>
        <v>149.1</v>
      </c>
      <c r="D61" s="93">
        <f t="shared" si="4"/>
        <v>0.05111032781</v>
      </c>
      <c r="E61" s="92">
        <f t="shared" si="5"/>
        <v>57</v>
      </c>
      <c r="F61" s="91">
        <v>100.9</v>
      </c>
      <c r="G61" s="91"/>
      <c r="H61" s="92">
        <f t="shared" si="6"/>
        <v>57</v>
      </c>
      <c r="I61" s="91" t="s">
        <v>121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46</v>
      </c>
      <c r="B62" s="91" t="str">
        <f t="shared" si="1"/>
        <v>Jan 17, 2024</v>
      </c>
      <c r="C62" s="91">
        <f t="shared" si="2"/>
        <v>146.25</v>
      </c>
      <c r="D62" s="93">
        <f t="shared" si="4"/>
        <v>-0.01911468813</v>
      </c>
      <c r="E62" s="92">
        <f t="shared" si="5"/>
        <v>58</v>
      </c>
      <c r="F62" s="91">
        <v>100.0</v>
      </c>
      <c r="G62" s="91"/>
      <c r="H62" s="92">
        <f t="shared" si="6"/>
        <v>58</v>
      </c>
      <c r="I62" s="91" t="s">
        <v>122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45</v>
      </c>
      <c r="B63" s="91" t="str">
        <f t="shared" si="1"/>
        <v>Jan 18, 2024</v>
      </c>
      <c r="C63" s="91">
        <f t="shared" si="2"/>
        <v>160.25</v>
      </c>
      <c r="D63" s="93">
        <f t="shared" si="4"/>
        <v>0.09572649573</v>
      </c>
      <c r="E63" s="92">
        <f t="shared" si="5"/>
        <v>59</v>
      </c>
      <c r="F63" s="91">
        <v>100.4</v>
      </c>
      <c r="G63" s="91"/>
      <c r="H63" s="92">
        <f t="shared" si="6"/>
        <v>59</v>
      </c>
      <c r="I63" s="91" t="s">
        <v>123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44</v>
      </c>
      <c r="B64" s="91" t="str">
        <f t="shared" si="1"/>
        <v>Jan 19, 2024</v>
      </c>
      <c r="C64" s="91">
        <f t="shared" si="2"/>
        <v>161.3</v>
      </c>
      <c r="D64" s="93">
        <f t="shared" si="4"/>
        <v>0.00655226209</v>
      </c>
      <c r="E64" s="92">
        <f t="shared" si="5"/>
        <v>60</v>
      </c>
      <c r="F64" s="91">
        <v>99.35</v>
      </c>
      <c r="G64" s="91"/>
      <c r="H64" s="92">
        <f t="shared" si="6"/>
        <v>60</v>
      </c>
      <c r="I64" s="91" t="s">
        <v>124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43</v>
      </c>
      <c r="B65" s="91" t="str">
        <f t="shared" si="1"/>
        <v>Jan 23, 2024</v>
      </c>
      <c r="C65" s="91">
        <f t="shared" si="2"/>
        <v>171.9</v>
      </c>
      <c r="D65" s="93">
        <f t="shared" si="4"/>
        <v>0.06571605704</v>
      </c>
      <c r="E65" s="92">
        <f t="shared" si="5"/>
        <v>61</v>
      </c>
      <c r="F65" s="91">
        <v>96.45</v>
      </c>
      <c r="G65" s="91"/>
      <c r="H65" s="92">
        <f t="shared" si="6"/>
        <v>61</v>
      </c>
      <c r="I65" s="91" t="s">
        <v>125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42</v>
      </c>
      <c r="B66" s="91" t="str">
        <f t="shared" si="1"/>
        <v>Jan 24, 2024</v>
      </c>
      <c r="C66" s="91">
        <f t="shared" si="2"/>
        <v>173.85</v>
      </c>
      <c r="D66" s="93">
        <f t="shared" si="4"/>
        <v>0.01134380454</v>
      </c>
      <c r="E66" s="92">
        <f t="shared" si="5"/>
        <v>62</v>
      </c>
      <c r="F66" s="91">
        <v>96.7</v>
      </c>
      <c r="G66" s="91"/>
      <c r="H66" s="92">
        <f t="shared" si="6"/>
        <v>62</v>
      </c>
      <c r="I66" s="91" t="s">
        <v>126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41</v>
      </c>
      <c r="B67" s="91" t="str">
        <f t="shared" si="1"/>
        <v>Jan 25, 2024</v>
      </c>
      <c r="C67" s="91">
        <f t="shared" si="2"/>
        <v>170.85</v>
      </c>
      <c r="D67" s="93">
        <f t="shared" si="4"/>
        <v>-0.01725625539</v>
      </c>
      <c r="E67" s="92">
        <f t="shared" si="5"/>
        <v>63</v>
      </c>
      <c r="F67" s="91">
        <v>97.4</v>
      </c>
      <c r="G67" s="91"/>
      <c r="H67" s="92">
        <f t="shared" si="6"/>
        <v>63</v>
      </c>
      <c r="I67" s="91" t="s">
        <v>127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40</v>
      </c>
      <c r="B68" s="91" t="str">
        <f t="shared" si="1"/>
        <v>Jan 29, 2024</v>
      </c>
      <c r="C68" s="91">
        <f t="shared" si="2"/>
        <v>166.65</v>
      </c>
      <c r="D68" s="93">
        <f t="shared" si="4"/>
        <v>-0.02458296752</v>
      </c>
      <c r="E68" s="92">
        <f t="shared" si="5"/>
        <v>64</v>
      </c>
      <c r="F68" s="91">
        <v>97.75</v>
      </c>
      <c r="G68" s="91"/>
      <c r="H68" s="92">
        <f t="shared" si="6"/>
        <v>64</v>
      </c>
      <c r="I68" s="91" t="s">
        <v>128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39</v>
      </c>
      <c r="B69" s="91" t="str">
        <f t="shared" si="1"/>
        <v>Jan 30, 2024</v>
      </c>
      <c r="C69" s="91">
        <f t="shared" si="2"/>
        <v>175.15</v>
      </c>
      <c r="D69" s="93">
        <f t="shared" si="4"/>
        <v>0.05100510051</v>
      </c>
      <c r="E69" s="92">
        <f t="shared" si="5"/>
        <v>65</v>
      </c>
      <c r="F69" s="91">
        <v>98.85</v>
      </c>
      <c r="G69" s="91"/>
      <c r="H69" s="92">
        <f t="shared" si="6"/>
        <v>65</v>
      </c>
      <c r="I69" s="91" t="s">
        <v>129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38</v>
      </c>
      <c r="B70" s="91" t="str">
        <f t="shared" si="1"/>
        <v>Jan 31, 2024</v>
      </c>
      <c r="C70" s="91">
        <f t="shared" si="2"/>
        <v>169.9</v>
      </c>
      <c r="D70" s="93">
        <f t="shared" si="4"/>
        <v>-0.02997430774</v>
      </c>
      <c r="E70" s="92">
        <f t="shared" si="5"/>
        <v>66</v>
      </c>
      <c r="F70" s="91">
        <v>92.45</v>
      </c>
      <c r="G70" s="91"/>
      <c r="H70" s="92">
        <f t="shared" si="6"/>
        <v>66</v>
      </c>
      <c r="I70" s="91" t="s">
        <v>130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37</v>
      </c>
      <c r="B71" s="91" t="str">
        <f t="shared" si="1"/>
        <v>Feb 01, 2024</v>
      </c>
      <c r="C71" s="91">
        <f t="shared" si="2"/>
        <v>168.95</v>
      </c>
      <c r="D71" s="93">
        <f t="shared" si="4"/>
        <v>-0.005591524426</v>
      </c>
      <c r="E71" s="92">
        <f t="shared" si="5"/>
        <v>67</v>
      </c>
      <c r="F71" s="91">
        <v>100.1</v>
      </c>
      <c r="G71" s="91"/>
      <c r="H71" s="92">
        <f t="shared" si="6"/>
        <v>67</v>
      </c>
      <c r="I71" s="91" t="s">
        <v>131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36</v>
      </c>
      <c r="B72" s="91" t="str">
        <f t="shared" si="1"/>
        <v>Feb 02, 2024</v>
      </c>
      <c r="C72" s="91">
        <f t="shared" si="2"/>
        <v>160.55</v>
      </c>
      <c r="D72" s="93">
        <f t="shared" si="4"/>
        <v>-0.04971885173</v>
      </c>
      <c r="E72" s="92">
        <f t="shared" si="5"/>
        <v>68</v>
      </c>
      <c r="F72" s="91">
        <v>94.35</v>
      </c>
      <c r="G72" s="91"/>
      <c r="H72" s="92">
        <f t="shared" si="6"/>
        <v>68</v>
      </c>
      <c r="I72" s="91" t="s">
        <v>132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35</v>
      </c>
      <c r="B73" s="91" t="str">
        <f t="shared" si="1"/>
        <v>Feb 05, 2024</v>
      </c>
      <c r="C73" s="91">
        <f t="shared" si="2"/>
        <v>160.9</v>
      </c>
      <c r="D73" s="93">
        <f t="shared" si="4"/>
        <v>0.002180006229</v>
      </c>
      <c r="E73" s="92">
        <f t="shared" si="5"/>
        <v>69</v>
      </c>
      <c r="F73" s="91">
        <v>94.7</v>
      </c>
      <c r="G73" s="91"/>
      <c r="H73" s="92">
        <f t="shared" si="6"/>
        <v>69</v>
      </c>
      <c r="I73" s="91" t="s">
        <v>133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34</v>
      </c>
      <c r="B74" s="91" t="str">
        <f t="shared" si="1"/>
        <v>Feb 06, 2024</v>
      </c>
      <c r="C74" s="91">
        <f t="shared" si="2"/>
        <v>162.5</v>
      </c>
      <c r="D74" s="93">
        <f t="shared" si="4"/>
        <v>0.009944064636</v>
      </c>
      <c r="E74" s="92">
        <f t="shared" si="5"/>
        <v>70</v>
      </c>
      <c r="F74" s="91">
        <v>92.65</v>
      </c>
      <c r="G74" s="91"/>
      <c r="H74" s="92">
        <f t="shared" si="6"/>
        <v>70</v>
      </c>
      <c r="I74" s="91" t="s">
        <v>134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33</v>
      </c>
      <c r="B75" s="91" t="str">
        <f t="shared" si="1"/>
        <v>Feb 07, 2024</v>
      </c>
      <c r="C75" s="91">
        <f t="shared" si="2"/>
        <v>161.95</v>
      </c>
      <c r="D75" s="93">
        <f t="shared" si="4"/>
        <v>-0.003384615385</v>
      </c>
      <c r="E75" s="92">
        <f t="shared" si="5"/>
        <v>71</v>
      </c>
      <c r="F75" s="91">
        <v>83.5</v>
      </c>
      <c r="G75" s="91"/>
      <c r="H75" s="92">
        <f t="shared" si="6"/>
        <v>71</v>
      </c>
      <c r="I75" s="91" t="s">
        <v>135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32</v>
      </c>
      <c r="B76" s="91" t="str">
        <f t="shared" si="1"/>
        <v>Feb 08, 2024</v>
      </c>
      <c r="C76" s="91">
        <f t="shared" si="2"/>
        <v>153.7</v>
      </c>
      <c r="D76" s="93">
        <f t="shared" si="4"/>
        <v>-0.05094164866</v>
      </c>
      <c r="E76" s="92">
        <f t="shared" si="5"/>
        <v>72</v>
      </c>
      <c r="F76" s="91">
        <v>83.05</v>
      </c>
      <c r="G76" s="91"/>
      <c r="H76" s="92">
        <f t="shared" si="6"/>
        <v>72</v>
      </c>
      <c r="I76" s="91" t="s">
        <v>136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31</v>
      </c>
      <c r="B77" s="91" t="str">
        <f t="shared" si="1"/>
        <v>Feb 09, 2024</v>
      </c>
      <c r="C77" s="91">
        <f t="shared" si="2"/>
        <v>132.95</v>
      </c>
      <c r="D77" s="93">
        <f t="shared" si="4"/>
        <v>-0.1350032531</v>
      </c>
      <c r="E77" s="92">
        <f t="shared" si="5"/>
        <v>73</v>
      </c>
      <c r="F77" s="91">
        <v>82.2</v>
      </c>
      <c r="G77" s="91"/>
      <c r="H77" s="92">
        <f t="shared" si="6"/>
        <v>73</v>
      </c>
      <c r="I77" s="91" t="s">
        <v>137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30</v>
      </c>
      <c r="B78" s="91" t="str">
        <f t="shared" si="1"/>
        <v>Feb 12, 2024</v>
      </c>
      <c r="C78" s="91">
        <f t="shared" si="2"/>
        <v>153.45</v>
      </c>
      <c r="D78" s="93">
        <f t="shared" si="4"/>
        <v>0.1541933058</v>
      </c>
      <c r="E78" s="92">
        <f t="shared" si="5"/>
        <v>74</v>
      </c>
      <c r="F78" s="91">
        <v>76.6</v>
      </c>
      <c r="G78" s="91"/>
      <c r="H78" s="92">
        <f t="shared" si="6"/>
        <v>74</v>
      </c>
      <c r="I78" s="91" t="s">
        <v>138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29</v>
      </c>
      <c r="B79" s="91" t="str">
        <f t="shared" si="1"/>
        <v>Feb 13, 2024</v>
      </c>
      <c r="C79" s="91">
        <f t="shared" si="2"/>
        <v>154.3</v>
      </c>
      <c r="D79" s="93">
        <f t="shared" si="4"/>
        <v>0.005539263604</v>
      </c>
      <c r="E79" s="92">
        <f t="shared" si="5"/>
        <v>75</v>
      </c>
      <c r="F79" s="91">
        <v>76.05</v>
      </c>
      <c r="G79" s="91"/>
      <c r="H79" s="92">
        <f t="shared" si="6"/>
        <v>75</v>
      </c>
      <c r="I79" s="91" t="s">
        <v>139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28</v>
      </c>
      <c r="B80" s="91" t="str">
        <f t="shared" si="1"/>
        <v>Feb 14, 2024</v>
      </c>
      <c r="C80" s="91">
        <f t="shared" si="2"/>
        <v>158.9</v>
      </c>
      <c r="D80" s="93">
        <f t="shared" si="4"/>
        <v>0.02981205444</v>
      </c>
      <c r="E80" s="92">
        <f t="shared" si="5"/>
        <v>76</v>
      </c>
      <c r="F80" s="91">
        <v>75.8</v>
      </c>
      <c r="G80" s="91"/>
      <c r="H80" s="92">
        <f t="shared" si="6"/>
        <v>76</v>
      </c>
      <c r="I80" s="91" t="s">
        <v>140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27</v>
      </c>
      <c r="B81" s="91" t="str">
        <f t="shared" si="1"/>
        <v>Feb 15, 2024</v>
      </c>
      <c r="C81" s="91">
        <f t="shared" si="2"/>
        <v>155.45</v>
      </c>
      <c r="D81" s="93">
        <f t="shared" si="4"/>
        <v>-0.02171176841</v>
      </c>
      <c r="E81" s="92">
        <f t="shared" si="5"/>
        <v>77</v>
      </c>
      <c r="F81" s="91">
        <v>76.15</v>
      </c>
      <c r="G81" s="91"/>
      <c r="H81" s="92">
        <f t="shared" si="6"/>
        <v>77</v>
      </c>
      <c r="I81" s="91" t="s">
        <v>141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26</v>
      </c>
      <c r="B82" s="91" t="str">
        <f t="shared" si="1"/>
        <v>Feb 16, 2024</v>
      </c>
      <c r="C82" s="91">
        <f t="shared" si="2"/>
        <v>158.65</v>
      </c>
      <c r="D82" s="93">
        <f t="shared" si="4"/>
        <v>0.02058539723</v>
      </c>
      <c r="E82" s="92">
        <f t="shared" si="5"/>
        <v>78</v>
      </c>
      <c r="F82" s="91">
        <v>76.4</v>
      </c>
      <c r="G82" s="91"/>
      <c r="H82" s="92">
        <f t="shared" si="6"/>
        <v>78</v>
      </c>
      <c r="I82" s="91" t="s">
        <v>142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25</v>
      </c>
      <c r="B83" s="91" t="str">
        <f t="shared" si="1"/>
        <v>Feb 19, 2024</v>
      </c>
      <c r="C83" s="91">
        <f t="shared" si="2"/>
        <v>158.5</v>
      </c>
      <c r="D83" s="93">
        <f t="shared" si="4"/>
        <v>-0.0009454774661</v>
      </c>
      <c r="E83" s="92">
        <f t="shared" si="5"/>
        <v>79</v>
      </c>
      <c r="F83" s="91">
        <v>75.4</v>
      </c>
      <c r="G83" s="91"/>
      <c r="H83" s="92">
        <f t="shared" si="6"/>
        <v>79</v>
      </c>
      <c r="I83" s="91" t="s">
        <v>143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24</v>
      </c>
      <c r="B84" s="91" t="str">
        <f t="shared" si="1"/>
        <v>Feb 20, 2024</v>
      </c>
      <c r="C84" s="91">
        <f t="shared" si="2"/>
        <v>154.2</v>
      </c>
      <c r="D84" s="93">
        <f t="shared" si="4"/>
        <v>-0.02712933754</v>
      </c>
      <c r="E84" s="92">
        <f t="shared" si="5"/>
        <v>80</v>
      </c>
      <c r="F84" s="91">
        <v>74.65</v>
      </c>
      <c r="G84" s="91"/>
      <c r="H84" s="92">
        <f t="shared" si="6"/>
        <v>80</v>
      </c>
      <c r="I84" s="91" t="s">
        <v>144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23</v>
      </c>
      <c r="B85" s="91" t="str">
        <f t="shared" si="1"/>
        <v>Feb 21, 2024</v>
      </c>
      <c r="C85" s="91">
        <f t="shared" si="2"/>
        <v>152.2</v>
      </c>
      <c r="D85" s="93">
        <f t="shared" si="4"/>
        <v>-0.01297016861</v>
      </c>
      <c r="E85" s="92">
        <f t="shared" si="5"/>
        <v>81</v>
      </c>
      <c r="F85" s="91">
        <v>75.3</v>
      </c>
      <c r="G85" s="91"/>
      <c r="H85" s="92">
        <f t="shared" si="6"/>
        <v>81</v>
      </c>
      <c r="I85" s="91" t="s">
        <v>145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22</v>
      </c>
      <c r="B86" s="91" t="str">
        <f t="shared" si="1"/>
        <v>Feb 22, 2024</v>
      </c>
      <c r="C86" s="91">
        <f t="shared" si="2"/>
        <v>153.2</v>
      </c>
      <c r="D86" s="93">
        <f t="shared" si="4"/>
        <v>0.006570302234</v>
      </c>
      <c r="E86" s="92">
        <f t="shared" si="5"/>
        <v>82</v>
      </c>
      <c r="F86" s="91">
        <v>75.6</v>
      </c>
      <c r="G86" s="91"/>
      <c r="H86" s="92">
        <f t="shared" si="6"/>
        <v>82</v>
      </c>
      <c r="I86" s="91" t="s">
        <v>146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21</v>
      </c>
      <c r="B87" s="91" t="str">
        <f t="shared" si="1"/>
        <v>Feb 23, 2024</v>
      </c>
      <c r="C87" s="91">
        <f t="shared" si="2"/>
        <v>152.3</v>
      </c>
      <c r="D87" s="93">
        <f t="shared" si="4"/>
        <v>-0.005874673629</v>
      </c>
      <c r="E87" s="92">
        <f t="shared" si="5"/>
        <v>83</v>
      </c>
      <c r="F87" s="91">
        <v>76.1</v>
      </c>
      <c r="G87" s="91"/>
      <c r="H87" s="92">
        <f t="shared" si="6"/>
        <v>83</v>
      </c>
      <c r="I87" s="91" t="s">
        <v>147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20</v>
      </c>
      <c r="B88" s="91" t="str">
        <f t="shared" si="1"/>
        <v>Feb 26, 2024</v>
      </c>
      <c r="C88" s="91">
        <f t="shared" si="2"/>
        <v>151.6</v>
      </c>
      <c r="D88" s="93">
        <f t="shared" si="4"/>
        <v>-0.004596191727</v>
      </c>
      <c r="E88" s="92">
        <f t="shared" si="5"/>
        <v>84</v>
      </c>
      <c r="F88" s="91">
        <v>76.5</v>
      </c>
      <c r="G88" s="91"/>
      <c r="H88" s="92">
        <f t="shared" si="6"/>
        <v>84</v>
      </c>
      <c r="I88" s="91" t="s">
        <v>148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19</v>
      </c>
      <c r="B89" s="91" t="str">
        <f t="shared" si="1"/>
        <v>Feb 27, 2024</v>
      </c>
      <c r="C89" s="91">
        <f t="shared" si="2"/>
        <v>147.4</v>
      </c>
      <c r="D89" s="93">
        <f t="shared" si="4"/>
        <v>-0.02770448549</v>
      </c>
      <c r="E89" s="92">
        <f t="shared" si="5"/>
        <v>85</v>
      </c>
      <c r="F89" s="91">
        <v>76.7</v>
      </c>
      <c r="G89" s="91"/>
      <c r="H89" s="92">
        <f t="shared" si="6"/>
        <v>85</v>
      </c>
      <c r="I89" s="91" t="s">
        <v>149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18</v>
      </c>
      <c r="B90" s="91" t="str">
        <f t="shared" si="1"/>
        <v>Feb 28, 2024</v>
      </c>
      <c r="C90" s="91">
        <f t="shared" si="2"/>
        <v>146.75</v>
      </c>
      <c r="D90" s="93">
        <f t="shared" si="4"/>
        <v>-0.004409769335</v>
      </c>
      <c r="E90" s="92">
        <f t="shared" si="5"/>
        <v>86</v>
      </c>
      <c r="F90" s="91">
        <v>76.85</v>
      </c>
      <c r="G90" s="91"/>
      <c r="H90" s="92">
        <f t="shared" si="6"/>
        <v>86</v>
      </c>
      <c r="I90" s="91" t="s">
        <v>150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17</v>
      </c>
      <c r="B91" s="91" t="str">
        <f t="shared" si="1"/>
        <v>Feb 29, 2024</v>
      </c>
      <c r="C91" s="91">
        <f t="shared" si="2"/>
        <v>147.4</v>
      </c>
      <c r="D91" s="93">
        <f t="shared" si="4"/>
        <v>0.004429301533</v>
      </c>
      <c r="E91" s="92">
        <f t="shared" si="5"/>
        <v>87</v>
      </c>
      <c r="F91" s="91">
        <v>76.1</v>
      </c>
      <c r="G91" s="91"/>
      <c r="H91" s="92">
        <f t="shared" si="6"/>
        <v>87</v>
      </c>
      <c r="I91" s="91" t="s">
        <v>151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16</v>
      </c>
      <c r="B92" s="91" t="str">
        <f t="shared" si="1"/>
        <v>Mar 01, 2024</v>
      </c>
      <c r="C92" s="91">
        <f t="shared" si="2"/>
        <v>145.55</v>
      </c>
      <c r="D92" s="93">
        <f t="shared" si="4"/>
        <v>-0.01255088195</v>
      </c>
      <c r="E92" s="92">
        <f t="shared" si="5"/>
        <v>88</v>
      </c>
      <c r="F92" s="91">
        <v>76.9</v>
      </c>
      <c r="G92" s="91"/>
      <c r="H92" s="92">
        <f t="shared" si="6"/>
        <v>88</v>
      </c>
      <c r="I92" s="91" t="s">
        <v>152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15</v>
      </c>
      <c r="B93" s="91" t="str">
        <f t="shared" si="1"/>
        <v>Mar 04, 2024</v>
      </c>
      <c r="C93" s="91">
        <f t="shared" si="2"/>
        <v>145.05</v>
      </c>
      <c r="D93" s="93">
        <f t="shared" si="4"/>
        <v>-0.00343524562</v>
      </c>
      <c r="E93" s="92">
        <f t="shared" si="5"/>
        <v>89</v>
      </c>
      <c r="F93" s="91">
        <v>73.1</v>
      </c>
      <c r="G93" s="91"/>
      <c r="H93" s="92">
        <f t="shared" si="6"/>
        <v>89</v>
      </c>
      <c r="I93" s="91" t="s">
        <v>153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14</v>
      </c>
      <c r="B94" s="91" t="str">
        <f t="shared" si="1"/>
        <v>Mar 05, 2024</v>
      </c>
      <c r="C94" s="91">
        <f t="shared" si="2"/>
        <v>140.5</v>
      </c>
      <c r="D94" s="93">
        <f t="shared" si="4"/>
        <v>-0.03136849362</v>
      </c>
      <c r="E94" s="92">
        <f t="shared" si="5"/>
        <v>90</v>
      </c>
      <c r="F94" s="91">
        <v>73.5</v>
      </c>
      <c r="G94" s="91"/>
      <c r="H94" s="92">
        <f t="shared" si="6"/>
        <v>90</v>
      </c>
      <c r="I94" s="91" t="s">
        <v>154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13</v>
      </c>
      <c r="B95" s="91" t="str">
        <f t="shared" si="1"/>
        <v>Mar 06, 2024</v>
      </c>
      <c r="C95" s="91">
        <f t="shared" si="2"/>
        <v>143.7</v>
      </c>
      <c r="D95" s="93">
        <f t="shared" si="4"/>
        <v>0.02277580071</v>
      </c>
      <c r="E95" s="92">
        <f t="shared" si="5"/>
        <v>91</v>
      </c>
      <c r="F95" s="91">
        <v>73.65</v>
      </c>
      <c r="G95" s="91"/>
      <c r="H95" s="92">
        <f t="shared" si="6"/>
        <v>91</v>
      </c>
      <c r="I95" s="91" t="s">
        <v>155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12</v>
      </c>
      <c r="B96" s="91" t="str">
        <f t="shared" si="1"/>
        <v>Mar 07, 2024</v>
      </c>
      <c r="C96" s="91">
        <f t="shared" si="2"/>
        <v>141.1</v>
      </c>
      <c r="D96" s="93">
        <f t="shared" si="4"/>
        <v>-0.01809324983</v>
      </c>
      <c r="E96" s="92">
        <f t="shared" si="5"/>
        <v>92</v>
      </c>
      <c r="F96" s="91">
        <v>74.1</v>
      </c>
      <c r="G96" s="91"/>
      <c r="H96" s="92">
        <f t="shared" si="6"/>
        <v>92</v>
      </c>
      <c r="I96" s="91" t="s">
        <v>155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11</v>
      </c>
      <c r="B97" s="91" t="str">
        <f t="shared" si="1"/>
        <v>Mar 11, 2024</v>
      </c>
      <c r="C97" s="91">
        <f t="shared" si="2"/>
        <v>136.75</v>
      </c>
      <c r="D97" s="93">
        <f t="shared" si="4"/>
        <v>-0.03082919915</v>
      </c>
      <c r="E97" s="92">
        <f t="shared" si="5"/>
        <v>93</v>
      </c>
      <c r="F97" s="91">
        <v>74.6</v>
      </c>
      <c r="G97" s="1"/>
      <c r="H97" s="92">
        <f t="shared" si="6"/>
        <v>93</v>
      </c>
      <c r="I97" s="91" t="s">
        <v>156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10</v>
      </c>
      <c r="B98" s="91" t="str">
        <f t="shared" si="1"/>
        <v>Mar 12, 2024</v>
      </c>
      <c r="C98" s="91">
        <f t="shared" si="2"/>
        <v>124.25</v>
      </c>
      <c r="D98" s="93">
        <f t="shared" si="4"/>
        <v>-0.09140767824</v>
      </c>
      <c r="E98" s="92">
        <f t="shared" si="5"/>
        <v>94</v>
      </c>
      <c r="F98" s="91">
        <v>75.6</v>
      </c>
      <c r="G98" s="91"/>
      <c r="H98" s="92">
        <f t="shared" si="6"/>
        <v>94</v>
      </c>
      <c r="I98" s="91" t="s">
        <v>157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9</v>
      </c>
      <c r="B99" s="91" t="str">
        <f t="shared" si="1"/>
        <v>Mar 13, 2024</v>
      </c>
      <c r="C99" s="91">
        <f t="shared" si="2"/>
        <v>140.25</v>
      </c>
      <c r="D99" s="93">
        <f t="shared" si="4"/>
        <v>0.1287726358</v>
      </c>
      <c r="E99" s="92">
        <f t="shared" si="5"/>
        <v>95</v>
      </c>
      <c r="F99" s="91">
        <v>73.05</v>
      </c>
      <c r="G99" s="91"/>
      <c r="H99" s="92">
        <f t="shared" si="6"/>
        <v>95</v>
      </c>
      <c r="I99" s="91" t="s">
        <v>158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8</v>
      </c>
      <c r="B100" s="91" t="str">
        <f t="shared" si="1"/>
        <v>Mar 14, 2024</v>
      </c>
      <c r="C100" s="91">
        <f t="shared" si="2"/>
        <v>136.95</v>
      </c>
      <c r="D100" s="93">
        <f t="shared" si="4"/>
        <v>-0.02352941176</v>
      </c>
      <c r="E100" s="92">
        <f t="shared" si="5"/>
        <v>96</v>
      </c>
      <c r="F100" s="91">
        <v>72.8</v>
      </c>
      <c r="G100" s="91"/>
      <c r="H100" s="92">
        <f t="shared" si="6"/>
        <v>96</v>
      </c>
      <c r="I100" s="91" t="s">
        <v>159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7</v>
      </c>
      <c r="B101" s="91" t="str">
        <f t="shared" si="1"/>
        <v>Mar 15, 2024</v>
      </c>
      <c r="C101" s="91">
        <f t="shared" si="2"/>
        <v>134.95</v>
      </c>
      <c r="D101" s="93">
        <f t="shared" si="4"/>
        <v>-0.01460387003</v>
      </c>
      <c r="E101" s="92">
        <f t="shared" si="5"/>
        <v>97</v>
      </c>
      <c r="F101" s="91">
        <v>72.15</v>
      </c>
      <c r="G101" s="91"/>
      <c r="H101" s="92">
        <f t="shared" si="6"/>
        <v>97</v>
      </c>
      <c r="I101" s="91" t="s">
        <v>160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6</v>
      </c>
      <c r="B102" s="91" t="str">
        <f t="shared" si="1"/>
        <v>Mar 18, 2024</v>
      </c>
      <c r="C102" s="91">
        <f t="shared" si="2"/>
        <v>135.2</v>
      </c>
      <c r="D102" s="93">
        <f t="shared" si="4"/>
        <v>0.001852537977</v>
      </c>
      <c r="E102" s="92">
        <f t="shared" si="5"/>
        <v>98</v>
      </c>
      <c r="F102" s="91">
        <v>73.05</v>
      </c>
      <c r="G102" s="91"/>
      <c r="H102" s="92">
        <f t="shared" si="6"/>
        <v>98</v>
      </c>
      <c r="I102" s="91" t="s">
        <v>161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5</v>
      </c>
      <c r="B103" s="91" t="str">
        <f t="shared" si="1"/>
        <v>Mar 19, 2024</v>
      </c>
      <c r="C103" s="91">
        <f t="shared" si="2"/>
        <v>133.2</v>
      </c>
      <c r="D103" s="93">
        <f t="shared" si="4"/>
        <v>-0.01479289941</v>
      </c>
      <c r="E103" s="92">
        <f t="shared" si="5"/>
        <v>99</v>
      </c>
      <c r="F103" s="91">
        <v>72.95</v>
      </c>
      <c r="G103" s="91"/>
      <c r="H103" s="92">
        <f t="shared" si="6"/>
        <v>99</v>
      </c>
      <c r="I103" s="91" t="s">
        <v>162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4</v>
      </c>
      <c r="B104" s="91" t="str">
        <f t="shared" si="1"/>
        <v>Mar 20, 2024</v>
      </c>
      <c r="C104" s="91">
        <f t="shared" si="2"/>
        <v>135.25</v>
      </c>
      <c r="D104" s="93">
        <f t="shared" si="4"/>
        <v>0.01539039039</v>
      </c>
      <c r="E104" s="92">
        <f t="shared" si="5"/>
        <v>100</v>
      </c>
      <c r="F104" s="91">
        <v>72.6</v>
      </c>
      <c r="G104" s="91"/>
      <c r="H104" s="92">
        <f t="shared" si="6"/>
        <v>100</v>
      </c>
      <c r="I104" s="91" t="s">
        <v>163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3</v>
      </c>
      <c r="B105" s="91" t="str">
        <f t="shared" si="1"/>
        <v>Mar 21, 2024</v>
      </c>
      <c r="C105" s="91">
        <f t="shared" si="2"/>
        <v>140.95</v>
      </c>
      <c r="D105" s="93">
        <f t="shared" si="4"/>
        <v>0.04214417745</v>
      </c>
      <c r="E105" s="92">
        <f t="shared" si="5"/>
        <v>101</v>
      </c>
      <c r="F105" s="91">
        <v>72.75</v>
      </c>
      <c r="G105" s="91"/>
      <c r="H105" s="92">
        <f t="shared" si="6"/>
        <v>101</v>
      </c>
      <c r="I105" s="91" t="s">
        <v>164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3"/>
        <v>2</v>
      </c>
      <c r="B106" s="91" t="str">
        <f t="shared" si="1"/>
        <v>Mar 22, 2024</v>
      </c>
      <c r="C106" s="91">
        <f t="shared" si="2"/>
        <v>145.7</v>
      </c>
      <c r="D106" s="93">
        <f t="shared" si="4"/>
        <v>0.03369989358</v>
      </c>
      <c r="E106" s="92">
        <f t="shared" si="5"/>
        <v>102</v>
      </c>
      <c r="F106" s="91">
        <v>71.95</v>
      </c>
      <c r="G106" s="91"/>
      <c r="H106" s="92">
        <f t="shared" si="6"/>
        <v>102</v>
      </c>
      <c r="I106" s="91" t="s">
        <v>165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 t="shared" si="3"/>
        <v>1</v>
      </c>
      <c r="B107" s="91" t="str">
        <f t="shared" si="1"/>
        <v>Mar 26, 2024</v>
      </c>
      <c r="C107" s="91">
        <f t="shared" si="2"/>
        <v>147.65</v>
      </c>
      <c r="D107" s="93">
        <f t="shared" si="4"/>
        <v>0.01338366507</v>
      </c>
      <c r="E107" s="92">
        <f t="shared" si="5"/>
        <v>103</v>
      </c>
      <c r="F107" s="91">
        <v>70.2</v>
      </c>
      <c r="G107" s="91"/>
      <c r="H107" s="92">
        <f t="shared" si="6"/>
        <v>103</v>
      </c>
      <c r="I107" s="91" t="s">
        <v>166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1"/>
      <c r="C108" s="91"/>
      <c r="D108" s="93"/>
      <c r="E108" s="1"/>
      <c r="F108" s="1"/>
      <c r="G108" s="91"/>
      <c r="H108" s="9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56"/>
    <col customWidth="1" min="2" max="2" width="10.78"/>
    <col customWidth="1" min="3" max="3" width="14.11"/>
    <col customWidth="1" min="4" max="5" width="10.78"/>
    <col customWidth="1" hidden="1" min="6" max="8" width="10.56"/>
    <col customWidth="1" hidden="1" min="9" max="9" width="14.11"/>
    <col customWidth="1" min="10" max="11" width="10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168</v>
      </c>
      <c r="C4" s="94" t="s">
        <v>62</v>
      </c>
      <c r="D4" s="95" t="s">
        <v>169</v>
      </c>
      <c r="E4" s="91"/>
      <c r="F4" s="91"/>
      <c r="G4" s="91" t="s">
        <v>60</v>
      </c>
      <c r="H4" s="91"/>
      <c r="I4" s="91" t="s">
        <v>59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>
        <v>103.0</v>
      </c>
      <c r="B5" s="1" t="str">
        <f t="shared" ref="B5:B106" si="1">VLOOKUP(A5,$H$5:$I$107,2)</f>
        <v>Oct 27, 2023</v>
      </c>
      <c r="C5" s="91">
        <f t="shared" ref="C5:C106" si="2">VLOOKUP(A5,$F$5:$G$107,2)</f>
        <v>76.55</v>
      </c>
      <c r="D5" s="96" t="s">
        <v>64</v>
      </c>
      <c r="E5" s="91"/>
      <c r="F5" s="91">
        <v>1.0</v>
      </c>
      <c r="G5" s="91">
        <v>187.4</v>
      </c>
      <c r="H5" s="91">
        <v>1.0</v>
      </c>
      <c r="I5" s="91" t="s">
        <v>170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f t="shared" ref="A6:A106" si="3">A5-1</f>
        <v>102</v>
      </c>
      <c r="B6" s="1" t="str">
        <f t="shared" si="1"/>
        <v>Oct 27, 2023</v>
      </c>
      <c r="C6" s="91">
        <f t="shared" si="2"/>
        <v>76.55</v>
      </c>
      <c r="D6" s="97">
        <f t="shared" ref="D6:D106" si="4">C6/C5-1</f>
        <v>0</v>
      </c>
      <c r="E6" s="91"/>
      <c r="F6" s="91">
        <f t="shared" ref="F6:F106" si="5">1+F5</f>
        <v>2</v>
      </c>
      <c r="G6" s="91">
        <v>184.15</v>
      </c>
      <c r="H6" s="91">
        <f t="shared" ref="H6:H106" si="6">1+H5</f>
        <v>2</v>
      </c>
      <c r="I6" s="91" t="s">
        <v>63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si="3"/>
        <v>101</v>
      </c>
      <c r="B7" s="1" t="str">
        <f t="shared" si="1"/>
        <v>Oct 30, 2023</v>
      </c>
      <c r="C7" s="91">
        <f t="shared" si="2"/>
        <v>74.95</v>
      </c>
      <c r="D7" s="97">
        <f t="shared" si="4"/>
        <v>-0.02090137165</v>
      </c>
      <c r="E7" s="91"/>
      <c r="F7" s="91">
        <f t="shared" si="5"/>
        <v>3</v>
      </c>
      <c r="G7" s="91">
        <v>183.15</v>
      </c>
      <c r="H7" s="91">
        <f t="shared" si="6"/>
        <v>3</v>
      </c>
      <c r="I7" s="91" t="s">
        <v>65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100</v>
      </c>
      <c r="B8" s="1" t="str">
        <f t="shared" si="1"/>
        <v>Oct 31, 2023</v>
      </c>
      <c r="C8" s="91">
        <f t="shared" si="2"/>
        <v>75.25</v>
      </c>
      <c r="D8" s="97">
        <f t="shared" si="4"/>
        <v>0.004002668446</v>
      </c>
      <c r="E8" s="91"/>
      <c r="F8" s="91">
        <f t="shared" si="5"/>
        <v>4</v>
      </c>
      <c r="G8" s="91">
        <v>182.15</v>
      </c>
      <c r="H8" s="91">
        <f t="shared" si="6"/>
        <v>4</v>
      </c>
      <c r="I8" s="91" t="s">
        <v>66</v>
      </c>
      <c r="J8" s="2" t="s">
        <v>51</v>
      </c>
      <c r="K8" s="3">
        <f>AVERAGE(D6:D106)</f>
        <v>0.009681346688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99</v>
      </c>
      <c r="B9" s="1" t="str">
        <f t="shared" si="1"/>
        <v>Nov 01, 2023</v>
      </c>
      <c r="C9" s="91">
        <f t="shared" si="2"/>
        <v>74.2</v>
      </c>
      <c r="D9" s="97">
        <f t="shared" si="4"/>
        <v>-0.01395348837</v>
      </c>
      <c r="E9" s="1"/>
      <c r="F9" s="91">
        <f t="shared" si="5"/>
        <v>5</v>
      </c>
      <c r="G9" s="91">
        <v>175.65</v>
      </c>
      <c r="H9" s="91">
        <f t="shared" si="6"/>
        <v>5</v>
      </c>
      <c r="I9" s="91" t="s">
        <v>68</v>
      </c>
      <c r="J9" s="1" t="s">
        <v>67</v>
      </c>
      <c r="K9" s="97">
        <f>STDEV(D6:D106)</f>
        <v>0.04474501557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98</v>
      </c>
      <c r="B10" s="1" t="str">
        <f t="shared" si="1"/>
        <v>Nov 02, 2023</v>
      </c>
      <c r="C10" s="91">
        <f t="shared" si="2"/>
        <v>75.5</v>
      </c>
      <c r="D10" s="97">
        <f t="shared" si="4"/>
        <v>0.01752021563</v>
      </c>
      <c r="E10" s="91"/>
      <c r="F10" s="91">
        <f t="shared" si="5"/>
        <v>6</v>
      </c>
      <c r="G10" s="91">
        <v>177.15</v>
      </c>
      <c r="H10" s="91">
        <f t="shared" si="6"/>
        <v>6</v>
      </c>
      <c r="I10" s="91" t="s">
        <v>69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97</v>
      </c>
      <c r="B11" s="1" t="str">
        <f t="shared" si="1"/>
        <v>Nov 03, 2023</v>
      </c>
      <c r="C11" s="91">
        <f t="shared" si="2"/>
        <v>75.8</v>
      </c>
      <c r="D11" s="97">
        <f t="shared" si="4"/>
        <v>0.003973509934</v>
      </c>
      <c r="E11" s="91"/>
      <c r="F11" s="91">
        <f t="shared" si="5"/>
        <v>7</v>
      </c>
      <c r="G11" s="91">
        <v>180.5</v>
      </c>
      <c r="H11" s="91">
        <f t="shared" si="6"/>
        <v>7</v>
      </c>
      <c r="I11" s="91" t="s">
        <v>70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96</v>
      </c>
      <c r="B12" s="1" t="str">
        <f t="shared" si="1"/>
        <v>Nov 06, 2023</v>
      </c>
      <c r="C12" s="91">
        <f t="shared" si="2"/>
        <v>79.05</v>
      </c>
      <c r="D12" s="97">
        <f t="shared" si="4"/>
        <v>0.04287598945</v>
      </c>
      <c r="E12" s="91"/>
      <c r="F12" s="91">
        <f t="shared" si="5"/>
        <v>8</v>
      </c>
      <c r="G12" s="91">
        <v>188.8</v>
      </c>
      <c r="H12" s="91">
        <f t="shared" si="6"/>
        <v>8</v>
      </c>
      <c r="I12" s="91" t="s">
        <v>71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95</v>
      </c>
      <c r="B13" s="1" t="str">
        <f t="shared" si="1"/>
        <v>Nov 07, 2023</v>
      </c>
      <c r="C13" s="91">
        <f t="shared" si="2"/>
        <v>79.35</v>
      </c>
      <c r="D13" s="97">
        <f t="shared" si="4"/>
        <v>0.003795066414</v>
      </c>
      <c r="E13" s="91"/>
      <c r="F13" s="91">
        <f t="shared" si="5"/>
        <v>9</v>
      </c>
      <c r="G13" s="91">
        <v>180.55</v>
      </c>
      <c r="H13" s="91">
        <f t="shared" si="6"/>
        <v>9</v>
      </c>
      <c r="I13" s="91" t="s">
        <v>72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94</v>
      </c>
      <c r="B14" s="1" t="str">
        <f t="shared" si="1"/>
        <v>Nov 08, 2023</v>
      </c>
      <c r="C14" s="91">
        <f t="shared" si="2"/>
        <v>81.05</v>
      </c>
      <c r="D14" s="97">
        <f t="shared" si="4"/>
        <v>0.02142407057</v>
      </c>
      <c r="E14" s="91"/>
      <c r="F14" s="91">
        <f t="shared" si="5"/>
        <v>10</v>
      </c>
      <c r="G14" s="91">
        <v>164.15</v>
      </c>
      <c r="H14" s="91">
        <f t="shared" si="6"/>
        <v>10</v>
      </c>
      <c r="I14" s="91" t="s">
        <v>73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93</v>
      </c>
      <c r="B15" s="1" t="str">
        <f t="shared" si="1"/>
        <v>Nov 09, 2023</v>
      </c>
      <c r="C15" s="91">
        <f t="shared" si="2"/>
        <v>79.45</v>
      </c>
      <c r="D15" s="97">
        <f t="shared" si="4"/>
        <v>-0.01974090068</v>
      </c>
      <c r="E15" s="91"/>
      <c r="F15" s="91">
        <f t="shared" si="5"/>
        <v>11</v>
      </c>
      <c r="G15" s="91">
        <v>182.35</v>
      </c>
      <c r="H15" s="91">
        <f t="shared" si="6"/>
        <v>11</v>
      </c>
      <c r="I15" s="91" t="s">
        <v>74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92</v>
      </c>
      <c r="B16" s="1" t="str">
        <f t="shared" si="1"/>
        <v>Nov 10, 2023</v>
      </c>
      <c r="C16" s="91">
        <f t="shared" si="2"/>
        <v>80.3</v>
      </c>
      <c r="D16" s="97">
        <f t="shared" si="4"/>
        <v>0.01069855255</v>
      </c>
      <c r="E16" s="91"/>
      <c r="F16" s="91">
        <f t="shared" si="5"/>
        <v>12</v>
      </c>
      <c r="G16" s="91">
        <v>195.45</v>
      </c>
      <c r="H16" s="91">
        <f t="shared" si="6"/>
        <v>12</v>
      </c>
      <c r="I16" s="91" t="s">
        <v>75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91</v>
      </c>
      <c r="B17" s="1" t="str">
        <f t="shared" si="1"/>
        <v>Nov 13, 2023</v>
      </c>
      <c r="C17" s="91">
        <f t="shared" si="2"/>
        <v>81.25</v>
      </c>
      <c r="D17" s="97">
        <f t="shared" si="4"/>
        <v>0.01183063512</v>
      </c>
      <c r="E17" s="91"/>
      <c r="F17" s="91">
        <f t="shared" si="5"/>
        <v>13</v>
      </c>
      <c r="G17" s="91">
        <v>202.45</v>
      </c>
      <c r="H17" s="91">
        <f t="shared" si="6"/>
        <v>13</v>
      </c>
      <c r="I17" s="91" t="s">
        <v>76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90</v>
      </c>
      <c r="B18" s="1" t="str">
        <f t="shared" si="1"/>
        <v>Nov 15, 2023</v>
      </c>
      <c r="C18" s="91">
        <f t="shared" si="2"/>
        <v>81.75</v>
      </c>
      <c r="D18" s="97">
        <f t="shared" si="4"/>
        <v>0.006153846154</v>
      </c>
      <c r="E18" s="91"/>
      <c r="F18" s="91">
        <f t="shared" si="5"/>
        <v>14</v>
      </c>
      <c r="G18" s="91">
        <v>195.9</v>
      </c>
      <c r="H18" s="91">
        <f t="shared" si="6"/>
        <v>14</v>
      </c>
      <c r="I18" s="91" t="s">
        <v>77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89</v>
      </c>
      <c r="B19" s="1" t="str">
        <f t="shared" si="1"/>
        <v>Nov 16, 2023</v>
      </c>
      <c r="C19" s="91">
        <f t="shared" si="2"/>
        <v>81.45</v>
      </c>
      <c r="D19" s="97">
        <f t="shared" si="4"/>
        <v>-0.003669724771</v>
      </c>
      <c r="E19" s="91"/>
      <c r="F19" s="91">
        <f t="shared" si="5"/>
        <v>15</v>
      </c>
      <c r="G19" s="91">
        <v>200.15</v>
      </c>
      <c r="H19" s="91">
        <f t="shared" si="6"/>
        <v>15</v>
      </c>
      <c r="I19" s="91" t="s">
        <v>78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88</v>
      </c>
      <c r="B20" s="1" t="str">
        <f t="shared" si="1"/>
        <v>Nov 17, 2023</v>
      </c>
      <c r="C20" s="91">
        <f t="shared" si="2"/>
        <v>80.7</v>
      </c>
      <c r="D20" s="97">
        <f t="shared" si="4"/>
        <v>-0.009208103131</v>
      </c>
      <c r="E20" s="91"/>
      <c r="F20" s="91">
        <f t="shared" si="5"/>
        <v>16</v>
      </c>
      <c r="G20" s="91">
        <v>195.6</v>
      </c>
      <c r="H20" s="91">
        <f t="shared" si="6"/>
        <v>16</v>
      </c>
      <c r="I20" s="91" t="s">
        <v>79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87</v>
      </c>
      <c r="B21" s="1" t="str">
        <f t="shared" si="1"/>
        <v>Nov 20, 2023</v>
      </c>
      <c r="C21" s="91">
        <f t="shared" si="2"/>
        <v>82.4</v>
      </c>
      <c r="D21" s="97">
        <f t="shared" si="4"/>
        <v>0.02106567534</v>
      </c>
      <c r="E21" s="91"/>
      <c r="F21" s="91">
        <f t="shared" si="5"/>
        <v>17</v>
      </c>
      <c r="G21" s="91">
        <v>194.4</v>
      </c>
      <c r="H21" s="91">
        <f t="shared" si="6"/>
        <v>17</v>
      </c>
      <c r="I21" s="91" t="s">
        <v>80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86</v>
      </c>
      <c r="B22" s="1" t="str">
        <f t="shared" si="1"/>
        <v>Nov 21, 2023</v>
      </c>
      <c r="C22" s="91">
        <f t="shared" si="2"/>
        <v>83.45</v>
      </c>
      <c r="D22" s="97">
        <f t="shared" si="4"/>
        <v>0.01274271845</v>
      </c>
      <c r="E22" s="91"/>
      <c r="F22" s="91">
        <f t="shared" si="5"/>
        <v>18</v>
      </c>
      <c r="G22" s="91">
        <v>191.15</v>
      </c>
      <c r="H22" s="91">
        <f t="shared" si="6"/>
        <v>18</v>
      </c>
      <c r="I22" s="91" t="s">
        <v>81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85</v>
      </c>
      <c r="B23" s="1" t="str">
        <f t="shared" si="1"/>
        <v>Nov 22, 2023</v>
      </c>
      <c r="C23" s="91">
        <f t="shared" si="2"/>
        <v>83.25</v>
      </c>
      <c r="D23" s="97">
        <f t="shared" si="4"/>
        <v>-0.002396644697</v>
      </c>
      <c r="E23" s="91"/>
      <c r="F23" s="91">
        <f t="shared" si="5"/>
        <v>19</v>
      </c>
      <c r="G23" s="91">
        <v>191.4</v>
      </c>
      <c r="H23" s="91">
        <f t="shared" si="6"/>
        <v>19</v>
      </c>
      <c r="I23" s="91" t="s">
        <v>82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84</v>
      </c>
      <c r="B24" s="1" t="str">
        <f t="shared" si="1"/>
        <v>Nov 23, 2023</v>
      </c>
      <c r="C24" s="91">
        <f t="shared" si="2"/>
        <v>82.25</v>
      </c>
      <c r="D24" s="97">
        <f t="shared" si="4"/>
        <v>-0.01201201201</v>
      </c>
      <c r="E24" s="91"/>
      <c r="F24" s="91">
        <f t="shared" si="5"/>
        <v>20</v>
      </c>
      <c r="G24" s="91">
        <v>199.0</v>
      </c>
      <c r="H24" s="91">
        <f t="shared" si="6"/>
        <v>20</v>
      </c>
      <c r="I24" s="91" t="s">
        <v>83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83</v>
      </c>
      <c r="B25" s="1" t="str">
        <f t="shared" si="1"/>
        <v>Nov 24, 2023</v>
      </c>
      <c r="C25" s="91">
        <f t="shared" si="2"/>
        <v>81.7</v>
      </c>
      <c r="D25" s="97">
        <f t="shared" si="4"/>
        <v>-0.006686930091</v>
      </c>
      <c r="E25" s="91"/>
      <c r="F25" s="91">
        <f t="shared" si="5"/>
        <v>21</v>
      </c>
      <c r="G25" s="91">
        <v>203.45</v>
      </c>
      <c r="H25" s="91">
        <f t="shared" si="6"/>
        <v>21</v>
      </c>
      <c r="I25" s="91" t="s">
        <v>84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82</v>
      </c>
      <c r="B26" s="1" t="str">
        <f t="shared" si="1"/>
        <v>Nov 28, 2023</v>
      </c>
      <c r="C26" s="91">
        <f t="shared" si="2"/>
        <v>81.6</v>
      </c>
      <c r="D26" s="97">
        <f t="shared" si="4"/>
        <v>-0.001223990208</v>
      </c>
      <c r="E26" s="91"/>
      <c r="F26" s="91">
        <f t="shared" si="5"/>
        <v>22</v>
      </c>
      <c r="G26" s="91">
        <v>199.35</v>
      </c>
      <c r="H26" s="91">
        <f t="shared" si="6"/>
        <v>22</v>
      </c>
      <c r="I26" s="91" t="s">
        <v>85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81</v>
      </c>
      <c r="B27" s="1" t="str">
        <f t="shared" si="1"/>
        <v>Nov 29, 2023</v>
      </c>
      <c r="C27" s="91">
        <f t="shared" si="2"/>
        <v>81.4</v>
      </c>
      <c r="D27" s="97">
        <f t="shared" si="4"/>
        <v>-0.002450980392</v>
      </c>
      <c r="E27" s="91"/>
      <c r="F27" s="91">
        <f t="shared" si="5"/>
        <v>23</v>
      </c>
      <c r="G27" s="91">
        <v>195.5</v>
      </c>
      <c r="H27" s="91">
        <f t="shared" si="6"/>
        <v>23</v>
      </c>
      <c r="I27" s="91" t="s">
        <v>86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80</v>
      </c>
      <c r="B28" s="1" t="str">
        <f t="shared" si="1"/>
        <v>Nov 30, 2023</v>
      </c>
      <c r="C28" s="91">
        <f t="shared" si="2"/>
        <v>85.75</v>
      </c>
      <c r="D28" s="97">
        <f t="shared" si="4"/>
        <v>0.05343980344</v>
      </c>
      <c r="E28" s="91"/>
      <c r="F28" s="91">
        <f t="shared" si="5"/>
        <v>24</v>
      </c>
      <c r="G28" s="91">
        <v>195.85</v>
      </c>
      <c r="H28" s="91">
        <f t="shared" si="6"/>
        <v>24</v>
      </c>
      <c r="I28" s="91" t="s">
        <v>87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79</v>
      </c>
      <c r="B29" s="1" t="str">
        <f t="shared" si="1"/>
        <v>Dec 01, 2023</v>
      </c>
      <c r="C29" s="91">
        <f t="shared" si="2"/>
        <v>85.65</v>
      </c>
      <c r="D29" s="97">
        <f t="shared" si="4"/>
        <v>-0.001166180758</v>
      </c>
      <c r="E29" s="91"/>
      <c r="F29" s="91">
        <f t="shared" si="5"/>
        <v>25</v>
      </c>
      <c r="G29" s="91">
        <v>198.45</v>
      </c>
      <c r="H29" s="91">
        <f t="shared" si="6"/>
        <v>25</v>
      </c>
      <c r="I29" s="91" t="s">
        <v>88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78</v>
      </c>
      <c r="B30" s="1" t="str">
        <f t="shared" si="1"/>
        <v>Dec 04, 2023</v>
      </c>
      <c r="C30" s="91">
        <f t="shared" si="2"/>
        <v>87.9</v>
      </c>
      <c r="D30" s="97">
        <f t="shared" si="4"/>
        <v>0.02626970228</v>
      </c>
      <c r="E30" s="91"/>
      <c r="F30" s="91">
        <f t="shared" si="5"/>
        <v>26</v>
      </c>
      <c r="G30" s="91">
        <v>193.1</v>
      </c>
      <c r="H30" s="91">
        <f t="shared" si="6"/>
        <v>26</v>
      </c>
      <c r="I30" s="91" t="s">
        <v>89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77</v>
      </c>
      <c r="B31" s="1" t="str">
        <f t="shared" si="1"/>
        <v>Dec 05, 2023</v>
      </c>
      <c r="C31" s="91">
        <f t="shared" si="2"/>
        <v>87.4</v>
      </c>
      <c r="D31" s="97">
        <f t="shared" si="4"/>
        <v>-0.005688282139</v>
      </c>
      <c r="E31" s="91"/>
      <c r="F31" s="91">
        <f t="shared" si="5"/>
        <v>27</v>
      </c>
      <c r="G31" s="91">
        <v>198.7</v>
      </c>
      <c r="H31" s="91">
        <f t="shared" si="6"/>
        <v>27</v>
      </c>
      <c r="I31" s="91" t="s">
        <v>90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76</v>
      </c>
      <c r="B32" s="1" t="str">
        <f t="shared" si="1"/>
        <v>Dec 06, 2023</v>
      </c>
      <c r="C32" s="91">
        <f t="shared" si="2"/>
        <v>86.8</v>
      </c>
      <c r="D32" s="97">
        <f t="shared" si="4"/>
        <v>-0.006864988558</v>
      </c>
      <c r="E32" s="91"/>
      <c r="F32" s="91">
        <f t="shared" si="5"/>
        <v>28</v>
      </c>
      <c r="G32" s="91">
        <v>203.6</v>
      </c>
      <c r="H32" s="91">
        <f t="shared" si="6"/>
        <v>28</v>
      </c>
      <c r="I32" s="91" t="s">
        <v>91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75</v>
      </c>
      <c r="B33" s="1" t="str">
        <f t="shared" si="1"/>
        <v>Dec 07, 2023</v>
      </c>
      <c r="C33" s="91">
        <f t="shared" si="2"/>
        <v>92.3</v>
      </c>
      <c r="D33" s="97">
        <f t="shared" si="4"/>
        <v>0.0633640553</v>
      </c>
      <c r="E33" s="91"/>
      <c r="F33" s="91">
        <f t="shared" si="5"/>
        <v>29</v>
      </c>
      <c r="G33" s="91">
        <v>198.15</v>
      </c>
      <c r="H33" s="91">
        <f t="shared" si="6"/>
        <v>29</v>
      </c>
      <c r="I33" s="91" t="s">
        <v>92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74</v>
      </c>
      <c r="B34" s="1" t="str">
        <f t="shared" si="1"/>
        <v>Dec 08, 2023</v>
      </c>
      <c r="C34" s="91">
        <f t="shared" si="2"/>
        <v>90.75</v>
      </c>
      <c r="D34" s="97">
        <f t="shared" si="4"/>
        <v>-0.01679306609</v>
      </c>
      <c r="E34" s="91"/>
      <c r="F34" s="91">
        <f t="shared" si="5"/>
        <v>30</v>
      </c>
      <c r="G34" s="91">
        <v>180.15</v>
      </c>
      <c r="H34" s="91">
        <f t="shared" si="6"/>
        <v>30</v>
      </c>
      <c r="I34" s="91" t="s">
        <v>93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73</v>
      </c>
      <c r="B35" s="1" t="str">
        <f t="shared" si="1"/>
        <v>Dec 11, 2023</v>
      </c>
      <c r="C35" s="91">
        <f t="shared" si="2"/>
        <v>91.15</v>
      </c>
      <c r="D35" s="97">
        <f t="shared" si="4"/>
        <v>0.004407713499</v>
      </c>
      <c r="E35" s="91"/>
      <c r="F35" s="91">
        <f t="shared" si="5"/>
        <v>31</v>
      </c>
      <c r="G35" s="91">
        <v>180.15</v>
      </c>
      <c r="H35" s="91">
        <f t="shared" si="6"/>
        <v>31</v>
      </c>
      <c r="I35" s="91" t="s">
        <v>94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72</v>
      </c>
      <c r="B36" s="1" t="str">
        <f t="shared" si="1"/>
        <v>Dec 12, 2023</v>
      </c>
      <c r="C36" s="91">
        <f t="shared" si="2"/>
        <v>95.25</v>
      </c>
      <c r="D36" s="97">
        <f t="shared" si="4"/>
        <v>0.04498080088</v>
      </c>
      <c r="E36" s="91"/>
      <c r="F36" s="91">
        <f t="shared" si="5"/>
        <v>32</v>
      </c>
      <c r="G36" s="91">
        <v>200.15</v>
      </c>
      <c r="H36" s="91">
        <f t="shared" si="6"/>
        <v>32</v>
      </c>
      <c r="I36" s="91" t="s">
        <v>95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71</v>
      </c>
      <c r="B37" s="1" t="str">
        <f t="shared" si="1"/>
        <v>Dec 13, 2023</v>
      </c>
      <c r="C37" s="91">
        <f t="shared" si="2"/>
        <v>99.65</v>
      </c>
      <c r="D37" s="97">
        <f t="shared" si="4"/>
        <v>0.04619422572</v>
      </c>
      <c r="E37" s="91"/>
      <c r="F37" s="91">
        <f t="shared" si="5"/>
        <v>33</v>
      </c>
      <c r="G37" s="91">
        <v>198.1</v>
      </c>
      <c r="H37" s="91">
        <f t="shared" si="6"/>
        <v>33</v>
      </c>
      <c r="I37" s="91" t="s">
        <v>96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70</v>
      </c>
      <c r="B38" s="1" t="str">
        <f t="shared" si="1"/>
        <v>Dec 14, 2023</v>
      </c>
      <c r="C38" s="91">
        <f t="shared" si="2"/>
        <v>111.35</v>
      </c>
      <c r="D38" s="97">
        <f t="shared" si="4"/>
        <v>0.1174109383</v>
      </c>
      <c r="E38" s="91"/>
      <c r="F38" s="91">
        <f t="shared" si="5"/>
        <v>34</v>
      </c>
      <c r="G38" s="91">
        <v>197.9</v>
      </c>
      <c r="H38" s="91">
        <f t="shared" si="6"/>
        <v>34</v>
      </c>
      <c r="I38" s="91" t="s">
        <v>97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69</v>
      </c>
      <c r="B39" s="1" t="str">
        <f t="shared" si="1"/>
        <v>Dec 15, 2023</v>
      </c>
      <c r="C39" s="91">
        <f t="shared" si="2"/>
        <v>110.75</v>
      </c>
      <c r="D39" s="97">
        <f t="shared" si="4"/>
        <v>-0.005388414908</v>
      </c>
      <c r="E39" s="91"/>
      <c r="F39" s="91">
        <f t="shared" si="5"/>
        <v>35</v>
      </c>
      <c r="G39" s="91">
        <v>201.65</v>
      </c>
      <c r="H39" s="91">
        <f t="shared" si="6"/>
        <v>35</v>
      </c>
      <c r="I39" s="91" t="s">
        <v>98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68</v>
      </c>
      <c r="B40" s="1" t="str">
        <f t="shared" si="1"/>
        <v>Dec 18, 2023</v>
      </c>
      <c r="C40" s="91">
        <f t="shared" si="2"/>
        <v>111.15</v>
      </c>
      <c r="D40" s="97">
        <f t="shared" si="4"/>
        <v>0.003611738149</v>
      </c>
      <c r="E40" s="91"/>
      <c r="F40" s="91">
        <f t="shared" si="5"/>
        <v>36</v>
      </c>
      <c r="G40" s="91">
        <v>201.35</v>
      </c>
      <c r="H40" s="91">
        <f t="shared" si="6"/>
        <v>36</v>
      </c>
      <c r="I40" s="91" t="s">
        <v>99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67</v>
      </c>
      <c r="B41" s="1" t="str">
        <f t="shared" si="1"/>
        <v>Dec 19, 2023</v>
      </c>
      <c r="C41" s="91">
        <f t="shared" si="2"/>
        <v>109.75</v>
      </c>
      <c r="D41" s="97">
        <f t="shared" si="4"/>
        <v>-0.01259559154</v>
      </c>
      <c r="E41" s="91"/>
      <c r="F41" s="91">
        <f t="shared" si="5"/>
        <v>37</v>
      </c>
      <c r="G41" s="91">
        <v>208.0</v>
      </c>
      <c r="H41" s="91">
        <f t="shared" si="6"/>
        <v>37</v>
      </c>
      <c r="I41" s="91" t="s">
        <v>100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66</v>
      </c>
      <c r="B42" s="1" t="str">
        <f t="shared" si="1"/>
        <v>Dec 20, 2023</v>
      </c>
      <c r="C42" s="91">
        <f t="shared" si="2"/>
        <v>101.7</v>
      </c>
      <c r="D42" s="97">
        <f t="shared" si="4"/>
        <v>-0.07334851936</v>
      </c>
      <c r="E42" s="91"/>
      <c r="F42" s="91">
        <f t="shared" si="5"/>
        <v>38</v>
      </c>
      <c r="G42" s="91">
        <v>205.9</v>
      </c>
      <c r="H42" s="91">
        <f t="shared" si="6"/>
        <v>38</v>
      </c>
      <c r="I42" s="91" t="s">
        <v>101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65</v>
      </c>
      <c r="B43" s="1" t="str">
        <f t="shared" si="1"/>
        <v>Dec 21, 2023</v>
      </c>
      <c r="C43" s="91">
        <f t="shared" si="2"/>
        <v>105.75</v>
      </c>
      <c r="D43" s="97">
        <f t="shared" si="4"/>
        <v>0.03982300885</v>
      </c>
      <c r="E43" s="91"/>
      <c r="F43" s="91">
        <f t="shared" si="5"/>
        <v>39</v>
      </c>
      <c r="G43" s="91">
        <v>172.35</v>
      </c>
      <c r="H43" s="91">
        <f t="shared" si="6"/>
        <v>39</v>
      </c>
      <c r="I43" s="91" t="s">
        <v>102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64</v>
      </c>
      <c r="B44" s="1" t="str">
        <f t="shared" si="1"/>
        <v>Dec 22, 2023</v>
      </c>
      <c r="C44" s="91">
        <f t="shared" si="2"/>
        <v>105.6</v>
      </c>
      <c r="D44" s="97">
        <f t="shared" si="4"/>
        <v>-0.001418439716</v>
      </c>
      <c r="E44" s="91"/>
      <c r="F44" s="91">
        <f t="shared" si="5"/>
        <v>40</v>
      </c>
      <c r="G44" s="91">
        <v>164.35</v>
      </c>
      <c r="H44" s="91">
        <f t="shared" si="6"/>
        <v>40</v>
      </c>
      <c r="I44" s="91" t="s">
        <v>103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63</v>
      </c>
      <c r="B45" s="1" t="str">
        <f t="shared" si="1"/>
        <v>Dec 26, 2023</v>
      </c>
      <c r="C45" s="91">
        <f t="shared" si="2"/>
        <v>105.5</v>
      </c>
      <c r="D45" s="97">
        <f t="shared" si="4"/>
        <v>-0.000946969697</v>
      </c>
      <c r="E45" s="91"/>
      <c r="F45" s="91">
        <f t="shared" si="5"/>
        <v>41</v>
      </c>
      <c r="G45" s="91">
        <v>167.8</v>
      </c>
      <c r="H45" s="91">
        <f t="shared" si="6"/>
        <v>41</v>
      </c>
      <c r="I45" s="91" t="s">
        <v>104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62</v>
      </c>
      <c r="B46" s="1" t="str">
        <f t="shared" si="1"/>
        <v>Dec 27, 2023</v>
      </c>
      <c r="C46" s="91">
        <f t="shared" si="2"/>
        <v>114</v>
      </c>
      <c r="D46" s="97">
        <f t="shared" si="4"/>
        <v>0.08056872038</v>
      </c>
      <c r="E46" s="91"/>
      <c r="F46" s="91">
        <f t="shared" si="5"/>
        <v>42</v>
      </c>
      <c r="G46" s="91">
        <v>163.55</v>
      </c>
      <c r="H46" s="91">
        <f t="shared" si="6"/>
        <v>42</v>
      </c>
      <c r="I46" s="91" t="s">
        <v>105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61</v>
      </c>
      <c r="B47" s="1" t="str">
        <f t="shared" si="1"/>
        <v>Dec 28, 2023</v>
      </c>
      <c r="C47" s="91">
        <f t="shared" si="2"/>
        <v>128</v>
      </c>
      <c r="D47" s="97">
        <f t="shared" si="4"/>
        <v>0.1228070175</v>
      </c>
      <c r="E47" s="91"/>
      <c r="F47" s="91">
        <f t="shared" si="5"/>
        <v>43</v>
      </c>
      <c r="G47" s="91">
        <v>165.75</v>
      </c>
      <c r="H47" s="91">
        <f t="shared" si="6"/>
        <v>43</v>
      </c>
      <c r="I47" s="91" t="s">
        <v>106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60</v>
      </c>
      <c r="B48" s="1" t="str">
        <f t="shared" si="1"/>
        <v>Dec 29, 2023</v>
      </c>
      <c r="C48" s="91">
        <f t="shared" si="2"/>
        <v>125.95</v>
      </c>
      <c r="D48" s="97">
        <f t="shared" si="4"/>
        <v>-0.016015625</v>
      </c>
      <c r="E48" s="91"/>
      <c r="F48" s="91">
        <f t="shared" si="5"/>
        <v>44</v>
      </c>
      <c r="G48" s="91">
        <v>149.9</v>
      </c>
      <c r="H48" s="91">
        <f t="shared" si="6"/>
        <v>44</v>
      </c>
      <c r="I48" s="91" t="s">
        <v>107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59</v>
      </c>
      <c r="B49" s="1" t="str">
        <f t="shared" si="1"/>
        <v>Jan 01, 2024</v>
      </c>
      <c r="C49" s="91">
        <f t="shared" si="2"/>
        <v>129.1</v>
      </c>
      <c r="D49" s="97">
        <f t="shared" si="4"/>
        <v>0.02500992457</v>
      </c>
      <c r="E49" s="91"/>
      <c r="F49" s="91">
        <f t="shared" si="5"/>
        <v>45</v>
      </c>
      <c r="G49" s="91">
        <v>159.4</v>
      </c>
      <c r="H49" s="91">
        <f t="shared" si="6"/>
        <v>45</v>
      </c>
      <c r="I49" s="91" t="s">
        <v>108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58</v>
      </c>
      <c r="B50" s="1" t="str">
        <f t="shared" si="1"/>
        <v>Jan 02, 2024</v>
      </c>
      <c r="C50" s="91">
        <f t="shared" si="2"/>
        <v>127.15</v>
      </c>
      <c r="D50" s="97">
        <f t="shared" si="4"/>
        <v>-0.0151045701</v>
      </c>
      <c r="E50" s="91"/>
      <c r="F50" s="91">
        <f t="shared" si="5"/>
        <v>46</v>
      </c>
      <c r="G50" s="91">
        <v>137.7</v>
      </c>
      <c r="H50" s="91">
        <f t="shared" si="6"/>
        <v>46</v>
      </c>
      <c r="I50" s="91" t="s">
        <v>109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57</v>
      </c>
      <c r="B51" s="1" t="str">
        <f t="shared" si="1"/>
        <v>Jan 03, 2024</v>
      </c>
      <c r="C51" s="91">
        <f t="shared" si="2"/>
        <v>126.8</v>
      </c>
      <c r="D51" s="97">
        <f t="shared" si="4"/>
        <v>-0.002752654345</v>
      </c>
      <c r="E51" s="91"/>
      <c r="F51" s="91">
        <f t="shared" si="5"/>
        <v>47</v>
      </c>
      <c r="G51" s="91">
        <v>137.75</v>
      </c>
      <c r="H51" s="91">
        <f t="shared" si="6"/>
        <v>47</v>
      </c>
      <c r="I51" s="91" t="s">
        <v>110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56</v>
      </c>
      <c r="B52" s="1" t="str">
        <f t="shared" si="1"/>
        <v>Jan 04, 2024</v>
      </c>
      <c r="C52" s="91">
        <f t="shared" si="2"/>
        <v>128.6</v>
      </c>
      <c r="D52" s="97">
        <f t="shared" si="4"/>
        <v>0.0141955836</v>
      </c>
      <c r="E52" s="91"/>
      <c r="F52" s="91">
        <f t="shared" si="5"/>
        <v>48</v>
      </c>
      <c r="G52" s="91">
        <v>131.55</v>
      </c>
      <c r="H52" s="91">
        <f t="shared" si="6"/>
        <v>48</v>
      </c>
      <c r="I52" s="91" t="s">
        <v>111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55</v>
      </c>
      <c r="B53" s="1" t="str">
        <f t="shared" si="1"/>
        <v>Jan 05, 2024</v>
      </c>
      <c r="C53" s="91">
        <f t="shared" si="2"/>
        <v>127.7</v>
      </c>
      <c r="D53" s="97">
        <f t="shared" si="4"/>
        <v>-0.00699844479</v>
      </c>
      <c r="E53" s="91"/>
      <c r="F53" s="91">
        <f t="shared" si="5"/>
        <v>49</v>
      </c>
      <c r="G53" s="91">
        <v>132.9</v>
      </c>
      <c r="H53" s="91">
        <f t="shared" si="6"/>
        <v>49</v>
      </c>
      <c r="I53" s="91" t="s">
        <v>112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54</v>
      </c>
      <c r="B54" s="1" t="str">
        <f t="shared" si="1"/>
        <v>Jan 08, 2024</v>
      </c>
      <c r="C54" s="91">
        <f t="shared" si="2"/>
        <v>124.2</v>
      </c>
      <c r="D54" s="97">
        <f t="shared" si="4"/>
        <v>-0.02740798747</v>
      </c>
      <c r="E54" s="91"/>
      <c r="F54" s="91">
        <f t="shared" si="5"/>
        <v>50</v>
      </c>
      <c r="G54" s="91">
        <v>126.65</v>
      </c>
      <c r="H54" s="91">
        <f t="shared" si="6"/>
        <v>50</v>
      </c>
      <c r="I54" s="91" t="s">
        <v>113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53</v>
      </c>
      <c r="B55" s="1" t="str">
        <f t="shared" si="1"/>
        <v>Jan 09, 2024</v>
      </c>
      <c r="C55" s="91">
        <f t="shared" si="2"/>
        <v>125.7</v>
      </c>
      <c r="D55" s="97">
        <f t="shared" si="4"/>
        <v>0.01207729469</v>
      </c>
      <c r="E55" s="91"/>
      <c r="F55" s="91">
        <f t="shared" si="5"/>
        <v>51</v>
      </c>
      <c r="G55" s="91">
        <v>126.85</v>
      </c>
      <c r="H55" s="91">
        <f t="shared" si="6"/>
        <v>51</v>
      </c>
      <c r="I55" s="91" t="s">
        <v>114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52</v>
      </c>
      <c r="B56" s="1" t="str">
        <f t="shared" si="1"/>
        <v>Jan 10, 2024</v>
      </c>
      <c r="C56" s="91">
        <f t="shared" si="2"/>
        <v>123.95</v>
      </c>
      <c r="D56" s="97">
        <f t="shared" si="4"/>
        <v>-0.0139220366</v>
      </c>
      <c r="E56" s="91"/>
      <c r="F56" s="91">
        <f t="shared" si="5"/>
        <v>52</v>
      </c>
      <c r="G56" s="91">
        <v>123.95</v>
      </c>
      <c r="H56" s="91">
        <f t="shared" si="6"/>
        <v>52</v>
      </c>
      <c r="I56" s="91" t="s">
        <v>115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51</v>
      </c>
      <c r="B57" s="1" t="str">
        <f t="shared" si="1"/>
        <v>Jan 11, 2024</v>
      </c>
      <c r="C57" s="91">
        <f t="shared" si="2"/>
        <v>126.85</v>
      </c>
      <c r="D57" s="97">
        <f t="shared" si="4"/>
        <v>0.02339653086</v>
      </c>
      <c r="E57" s="91"/>
      <c r="F57" s="91">
        <f t="shared" si="5"/>
        <v>53</v>
      </c>
      <c r="G57" s="91">
        <v>125.7</v>
      </c>
      <c r="H57" s="91">
        <f t="shared" si="6"/>
        <v>53</v>
      </c>
      <c r="I57" s="91" t="s">
        <v>116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50</v>
      </c>
      <c r="B58" s="1" t="str">
        <f t="shared" si="1"/>
        <v>Jan 12, 2024</v>
      </c>
      <c r="C58" s="91">
        <f t="shared" si="2"/>
        <v>126.65</v>
      </c>
      <c r="D58" s="97">
        <f t="shared" si="4"/>
        <v>-0.001576665353</v>
      </c>
      <c r="E58" s="91"/>
      <c r="F58" s="91">
        <f t="shared" si="5"/>
        <v>54</v>
      </c>
      <c r="G58" s="91">
        <v>124.2</v>
      </c>
      <c r="H58" s="91">
        <f t="shared" si="6"/>
        <v>54</v>
      </c>
      <c r="I58" s="91" t="s">
        <v>117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49</v>
      </c>
      <c r="B59" s="1" t="str">
        <f t="shared" si="1"/>
        <v>Jan 15, 2024</v>
      </c>
      <c r="C59" s="91">
        <f t="shared" si="2"/>
        <v>132.9</v>
      </c>
      <c r="D59" s="97">
        <f t="shared" si="4"/>
        <v>0.0493485985</v>
      </c>
      <c r="E59" s="91"/>
      <c r="F59" s="91">
        <f t="shared" si="5"/>
        <v>55</v>
      </c>
      <c r="G59" s="91">
        <v>127.7</v>
      </c>
      <c r="H59" s="91">
        <f t="shared" si="6"/>
        <v>55</v>
      </c>
      <c r="I59" s="91" t="s">
        <v>118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48</v>
      </c>
      <c r="B60" s="1" t="str">
        <f t="shared" si="1"/>
        <v>Jan 16, 2024</v>
      </c>
      <c r="C60" s="91">
        <f t="shared" si="2"/>
        <v>131.55</v>
      </c>
      <c r="D60" s="97">
        <f t="shared" si="4"/>
        <v>-0.01015801354</v>
      </c>
      <c r="E60" s="91"/>
      <c r="F60" s="91">
        <f t="shared" si="5"/>
        <v>56</v>
      </c>
      <c r="G60" s="91">
        <v>128.6</v>
      </c>
      <c r="H60" s="91">
        <f t="shared" si="6"/>
        <v>56</v>
      </c>
      <c r="I60" s="91" t="s">
        <v>119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47</v>
      </c>
      <c r="B61" s="1" t="str">
        <f t="shared" si="1"/>
        <v>Jan 17, 2024</v>
      </c>
      <c r="C61" s="91">
        <f t="shared" si="2"/>
        <v>137.75</v>
      </c>
      <c r="D61" s="97">
        <f t="shared" si="4"/>
        <v>0.04713036868</v>
      </c>
      <c r="E61" s="91"/>
      <c r="F61" s="91">
        <f t="shared" si="5"/>
        <v>57</v>
      </c>
      <c r="G61" s="91">
        <v>126.8</v>
      </c>
      <c r="H61" s="91">
        <f t="shared" si="6"/>
        <v>57</v>
      </c>
      <c r="I61" s="91" t="s">
        <v>120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46</v>
      </c>
      <c r="B62" s="1" t="str">
        <f t="shared" si="1"/>
        <v>Jan 18, 2024</v>
      </c>
      <c r="C62" s="91">
        <f t="shared" si="2"/>
        <v>137.7</v>
      </c>
      <c r="D62" s="97">
        <f t="shared" si="4"/>
        <v>-0.0003629764065</v>
      </c>
      <c r="E62" s="91"/>
      <c r="F62" s="91">
        <f t="shared" si="5"/>
        <v>58</v>
      </c>
      <c r="G62" s="91">
        <v>127.15</v>
      </c>
      <c r="H62" s="91">
        <f t="shared" si="6"/>
        <v>58</v>
      </c>
      <c r="I62" s="91" t="s">
        <v>121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45</v>
      </c>
      <c r="B63" s="1" t="str">
        <f t="shared" si="1"/>
        <v>Jan 19, 2024</v>
      </c>
      <c r="C63" s="91">
        <f t="shared" si="2"/>
        <v>159.4</v>
      </c>
      <c r="D63" s="97">
        <f t="shared" si="4"/>
        <v>0.1575889615</v>
      </c>
      <c r="E63" s="91"/>
      <c r="F63" s="91">
        <f t="shared" si="5"/>
        <v>59</v>
      </c>
      <c r="G63" s="91">
        <v>129.1</v>
      </c>
      <c r="H63" s="91">
        <f t="shared" si="6"/>
        <v>59</v>
      </c>
      <c r="I63" s="91" t="s">
        <v>122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44</v>
      </c>
      <c r="B64" s="1" t="str">
        <f t="shared" si="1"/>
        <v>Jan 23, 2024</v>
      </c>
      <c r="C64" s="91">
        <f t="shared" si="2"/>
        <v>149.9</v>
      </c>
      <c r="D64" s="97">
        <f t="shared" si="4"/>
        <v>-0.05959849435</v>
      </c>
      <c r="E64" s="91"/>
      <c r="F64" s="91">
        <f t="shared" si="5"/>
        <v>60</v>
      </c>
      <c r="G64" s="91">
        <v>125.95</v>
      </c>
      <c r="H64" s="91">
        <f t="shared" si="6"/>
        <v>60</v>
      </c>
      <c r="I64" s="91" t="s">
        <v>123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43</v>
      </c>
      <c r="B65" s="1" t="str">
        <f t="shared" si="1"/>
        <v>Jan 24, 2024</v>
      </c>
      <c r="C65" s="91">
        <f t="shared" si="2"/>
        <v>165.75</v>
      </c>
      <c r="D65" s="97">
        <f t="shared" si="4"/>
        <v>0.1057371581</v>
      </c>
      <c r="E65" s="91"/>
      <c r="F65" s="91">
        <f t="shared" si="5"/>
        <v>61</v>
      </c>
      <c r="G65" s="91">
        <v>128.0</v>
      </c>
      <c r="H65" s="91">
        <f t="shared" si="6"/>
        <v>61</v>
      </c>
      <c r="I65" s="91" t="s">
        <v>124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42</v>
      </c>
      <c r="B66" s="1" t="str">
        <f t="shared" si="1"/>
        <v>Jan 25, 2024</v>
      </c>
      <c r="C66" s="91">
        <f t="shared" si="2"/>
        <v>163.55</v>
      </c>
      <c r="D66" s="97">
        <f t="shared" si="4"/>
        <v>-0.01327300151</v>
      </c>
      <c r="E66" s="91"/>
      <c r="F66" s="91">
        <f t="shared" si="5"/>
        <v>62</v>
      </c>
      <c r="G66" s="91">
        <v>114.0</v>
      </c>
      <c r="H66" s="91">
        <f t="shared" si="6"/>
        <v>62</v>
      </c>
      <c r="I66" s="91" t="s">
        <v>125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41</v>
      </c>
      <c r="B67" s="1" t="str">
        <f t="shared" si="1"/>
        <v>Jan 29, 2024</v>
      </c>
      <c r="C67" s="91">
        <f t="shared" si="2"/>
        <v>167.8</v>
      </c>
      <c r="D67" s="97">
        <f t="shared" si="4"/>
        <v>0.02598593702</v>
      </c>
      <c r="E67" s="91"/>
      <c r="F67" s="91">
        <f t="shared" si="5"/>
        <v>63</v>
      </c>
      <c r="G67" s="91">
        <v>105.5</v>
      </c>
      <c r="H67" s="91">
        <f t="shared" si="6"/>
        <v>63</v>
      </c>
      <c r="I67" s="91" t="s">
        <v>126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40</v>
      </c>
      <c r="B68" s="1" t="str">
        <f t="shared" si="1"/>
        <v>Jan 30, 2024</v>
      </c>
      <c r="C68" s="91">
        <f t="shared" si="2"/>
        <v>164.35</v>
      </c>
      <c r="D68" s="97">
        <f t="shared" si="4"/>
        <v>-0.0205601907</v>
      </c>
      <c r="E68" s="91"/>
      <c r="F68" s="91">
        <f t="shared" si="5"/>
        <v>64</v>
      </c>
      <c r="G68" s="91">
        <v>105.6</v>
      </c>
      <c r="H68" s="91">
        <f t="shared" si="6"/>
        <v>64</v>
      </c>
      <c r="I68" s="91" t="s">
        <v>127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39</v>
      </c>
      <c r="B69" s="1" t="str">
        <f t="shared" si="1"/>
        <v>Jan 31, 2024</v>
      </c>
      <c r="C69" s="91">
        <f t="shared" si="2"/>
        <v>172.35</v>
      </c>
      <c r="D69" s="97">
        <f t="shared" si="4"/>
        <v>0.04867660481</v>
      </c>
      <c r="E69" s="91"/>
      <c r="F69" s="91">
        <f t="shared" si="5"/>
        <v>65</v>
      </c>
      <c r="G69" s="91">
        <v>105.75</v>
      </c>
      <c r="H69" s="91">
        <f t="shared" si="6"/>
        <v>65</v>
      </c>
      <c r="I69" s="91" t="s">
        <v>128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38</v>
      </c>
      <c r="B70" s="1" t="str">
        <f t="shared" si="1"/>
        <v>Feb 01, 2024</v>
      </c>
      <c r="C70" s="91">
        <f t="shared" si="2"/>
        <v>205.9</v>
      </c>
      <c r="D70" s="97">
        <f t="shared" si="4"/>
        <v>0.1946620249</v>
      </c>
      <c r="E70" s="91"/>
      <c r="F70" s="91">
        <f t="shared" si="5"/>
        <v>66</v>
      </c>
      <c r="G70" s="91">
        <v>101.7</v>
      </c>
      <c r="H70" s="91">
        <f t="shared" si="6"/>
        <v>66</v>
      </c>
      <c r="I70" s="91" t="s">
        <v>129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37</v>
      </c>
      <c r="B71" s="1" t="str">
        <f t="shared" si="1"/>
        <v>Feb 02, 2024</v>
      </c>
      <c r="C71" s="91">
        <f t="shared" si="2"/>
        <v>208</v>
      </c>
      <c r="D71" s="97">
        <f t="shared" si="4"/>
        <v>0.01019912579</v>
      </c>
      <c r="E71" s="91"/>
      <c r="F71" s="91">
        <f t="shared" si="5"/>
        <v>67</v>
      </c>
      <c r="G71" s="91">
        <v>109.75</v>
      </c>
      <c r="H71" s="91">
        <f t="shared" si="6"/>
        <v>67</v>
      </c>
      <c r="I71" s="91" t="s">
        <v>130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36</v>
      </c>
      <c r="B72" s="1" t="str">
        <f t="shared" si="1"/>
        <v>Feb 05, 2024</v>
      </c>
      <c r="C72" s="91">
        <f t="shared" si="2"/>
        <v>201.35</v>
      </c>
      <c r="D72" s="97">
        <f t="shared" si="4"/>
        <v>-0.03197115385</v>
      </c>
      <c r="E72" s="91"/>
      <c r="F72" s="91">
        <f t="shared" si="5"/>
        <v>68</v>
      </c>
      <c r="G72" s="91">
        <v>111.15</v>
      </c>
      <c r="H72" s="91">
        <f t="shared" si="6"/>
        <v>68</v>
      </c>
      <c r="I72" s="91" t="s">
        <v>131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35</v>
      </c>
      <c r="B73" s="1" t="str">
        <f t="shared" si="1"/>
        <v>Feb 06, 2024</v>
      </c>
      <c r="C73" s="91">
        <f t="shared" si="2"/>
        <v>201.65</v>
      </c>
      <c r="D73" s="97">
        <f t="shared" si="4"/>
        <v>0.001489942886</v>
      </c>
      <c r="E73" s="91"/>
      <c r="F73" s="91">
        <f t="shared" si="5"/>
        <v>69</v>
      </c>
      <c r="G73" s="91">
        <v>110.75</v>
      </c>
      <c r="H73" s="91">
        <f t="shared" si="6"/>
        <v>69</v>
      </c>
      <c r="I73" s="91" t="s">
        <v>132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34</v>
      </c>
      <c r="B74" s="1" t="str">
        <f t="shared" si="1"/>
        <v>Feb 07, 2024</v>
      </c>
      <c r="C74" s="91">
        <f t="shared" si="2"/>
        <v>197.9</v>
      </c>
      <c r="D74" s="97">
        <f t="shared" si="4"/>
        <v>-0.01859657823</v>
      </c>
      <c r="E74" s="91"/>
      <c r="F74" s="91">
        <f t="shared" si="5"/>
        <v>70</v>
      </c>
      <c r="G74" s="91">
        <v>111.35</v>
      </c>
      <c r="H74" s="91">
        <f t="shared" si="6"/>
        <v>70</v>
      </c>
      <c r="I74" s="91" t="s">
        <v>133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33</v>
      </c>
      <c r="B75" s="1" t="str">
        <f t="shared" si="1"/>
        <v>Feb 08, 2024</v>
      </c>
      <c r="C75" s="91">
        <f t="shared" si="2"/>
        <v>198.1</v>
      </c>
      <c r="D75" s="97">
        <f t="shared" si="4"/>
        <v>0.00101061142</v>
      </c>
      <c r="E75" s="91"/>
      <c r="F75" s="91">
        <f t="shared" si="5"/>
        <v>71</v>
      </c>
      <c r="G75" s="91">
        <v>99.65</v>
      </c>
      <c r="H75" s="91">
        <f t="shared" si="6"/>
        <v>71</v>
      </c>
      <c r="I75" s="91" t="s">
        <v>134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32</v>
      </c>
      <c r="B76" s="1" t="str">
        <f t="shared" si="1"/>
        <v>Feb 09, 2024</v>
      </c>
      <c r="C76" s="91">
        <f t="shared" si="2"/>
        <v>200.15</v>
      </c>
      <c r="D76" s="97">
        <f t="shared" si="4"/>
        <v>0.01034830893</v>
      </c>
      <c r="E76" s="91"/>
      <c r="F76" s="91">
        <f t="shared" si="5"/>
        <v>72</v>
      </c>
      <c r="G76" s="91">
        <v>95.25</v>
      </c>
      <c r="H76" s="91">
        <f t="shared" si="6"/>
        <v>72</v>
      </c>
      <c r="I76" s="91" t="s">
        <v>135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31</v>
      </c>
      <c r="B77" s="1" t="str">
        <f t="shared" si="1"/>
        <v>Feb 12, 2024</v>
      </c>
      <c r="C77" s="91">
        <f t="shared" si="2"/>
        <v>180.15</v>
      </c>
      <c r="D77" s="97">
        <f t="shared" si="4"/>
        <v>-0.09992505621</v>
      </c>
      <c r="E77" s="91"/>
      <c r="F77" s="91">
        <f t="shared" si="5"/>
        <v>73</v>
      </c>
      <c r="G77" s="91">
        <v>91.15</v>
      </c>
      <c r="H77" s="91">
        <f t="shared" si="6"/>
        <v>73</v>
      </c>
      <c r="I77" s="91" t="s">
        <v>136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30</v>
      </c>
      <c r="B78" s="1" t="str">
        <f t="shared" si="1"/>
        <v>Feb 13, 2024</v>
      </c>
      <c r="C78" s="91">
        <f t="shared" si="2"/>
        <v>180.15</v>
      </c>
      <c r="D78" s="97">
        <f t="shared" si="4"/>
        <v>0</v>
      </c>
      <c r="E78" s="91"/>
      <c r="F78" s="91">
        <f t="shared" si="5"/>
        <v>74</v>
      </c>
      <c r="G78" s="91">
        <v>90.75</v>
      </c>
      <c r="H78" s="91">
        <f t="shared" si="6"/>
        <v>74</v>
      </c>
      <c r="I78" s="91" t="s">
        <v>137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29</v>
      </c>
      <c r="B79" s="1" t="str">
        <f t="shared" si="1"/>
        <v>Feb 14, 2024</v>
      </c>
      <c r="C79" s="91">
        <f t="shared" si="2"/>
        <v>198.15</v>
      </c>
      <c r="D79" s="97">
        <f t="shared" si="4"/>
        <v>0.09991673605</v>
      </c>
      <c r="E79" s="91"/>
      <c r="F79" s="91">
        <f t="shared" si="5"/>
        <v>75</v>
      </c>
      <c r="G79" s="91">
        <v>92.3</v>
      </c>
      <c r="H79" s="91">
        <f t="shared" si="6"/>
        <v>75</v>
      </c>
      <c r="I79" s="91" t="s">
        <v>138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28</v>
      </c>
      <c r="B80" s="1" t="str">
        <f t="shared" si="1"/>
        <v>Feb 15, 2024</v>
      </c>
      <c r="C80" s="91">
        <f t="shared" si="2"/>
        <v>203.6</v>
      </c>
      <c r="D80" s="97">
        <f t="shared" si="4"/>
        <v>0.02750441585</v>
      </c>
      <c r="E80" s="91"/>
      <c r="F80" s="91">
        <f t="shared" si="5"/>
        <v>76</v>
      </c>
      <c r="G80" s="91">
        <v>86.8</v>
      </c>
      <c r="H80" s="91">
        <f t="shared" si="6"/>
        <v>76</v>
      </c>
      <c r="I80" s="91" t="s">
        <v>139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27</v>
      </c>
      <c r="B81" s="1" t="str">
        <f t="shared" si="1"/>
        <v>Feb 16, 2024</v>
      </c>
      <c r="C81" s="91">
        <f t="shared" si="2"/>
        <v>198.7</v>
      </c>
      <c r="D81" s="97">
        <f t="shared" si="4"/>
        <v>-0.02406679764</v>
      </c>
      <c r="E81" s="91"/>
      <c r="F81" s="91">
        <f t="shared" si="5"/>
        <v>77</v>
      </c>
      <c r="G81" s="91">
        <v>87.4</v>
      </c>
      <c r="H81" s="91">
        <f t="shared" si="6"/>
        <v>77</v>
      </c>
      <c r="I81" s="91" t="s">
        <v>140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26</v>
      </c>
      <c r="B82" s="1" t="str">
        <f t="shared" si="1"/>
        <v>Feb 19, 2024</v>
      </c>
      <c r="C82" s="91">
        <f t="shared" si="2"/>
        <v>193.1</v>
      </c>
      <c r="D82" s="97">
        <f t="shared" si="4"/>
        <v>-0.02818319074</v>
      </c>
      <c r="E82" s="91"/>
      <c r="F82" s="91">
        <f t="shared" si="5"/>
        <v>78</v>
      </c>
      <c r="G82" s="91">
        <v>87.9</v>
      </c>
      <c r="H82" s="91">
        <f t="shared" si="6"/>
        <v>78</v>
      </c>
      <c r="I82" s="91" t="s">
        <v>141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25</v>
      </c>
      <c r="B83" s="1" t="str">
        <f t="shared" si="1"/>
        <v>Feb 20, 2024</v>
      </c>
      <c r="C83" s="91">
        <f t="shared" si="2"/>
        <v>198.45</v>
      </c>
      <c r="D83" s="97">
        <f t="shared" si="4"/>
        <v>0.02770585189</v>
      </c>
      <c r="E83" s="91"/>
      <c r="F83" s="91">
        <f t="shared" si="5"/>
        <v>79</v>
      </c>
      <c r="G83" s="91">
        <v>85.65</v>
      </c>
      <c r="H83" s="91">
        <f t="shared" si="6"/>
        <v>79</v>
      </c>
      <c r="I83" s="91" t="s">
        <v>142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24</v>
      </c>
      <c r="B84" s="1" t="str">
        <f t="shared" si="1"/>
        <v>Feb 21, 2024</v>
      </c>
      <c r="C84" s="91">
        <f t="shared" si="2"/>
        <v>195.85</v>
      </c>
      <c r="D84" s="97">
        <f t="shared" si="4"/>
        <v>-0.01310153691</v>
      </c>
      <c r="E84" s="91"/>
      <c r="F84" s="91">
        <f t="shared" si="5"/>
        <v>80</v>
      </c>
      <c r="G84" s="91">
        <v>85.75</v>
      </c>
      <c r="H84" s="91">
        <f t="shared" si="6"/>
        <v>80</v>
      </c>
      <c r="I84" s="91" t="s">
        <v>143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23</v>
      </c>
      <c r="B85" s="1" t="str">
        <f t="shared" si="1"/>
        <v>Feb 22, 2024</v>
      </c>
      <c r="C85" s="91">
        <f t="shared" si="2"/>
        <v>195.5</v>
      </c>
      <c r="D85" s="97">
        <f t="shared" si="4"/>
        <v>-0.00178708195</v>
      </c>
      <c r="E85" s="91"/>
      <c r="F85" s="91">
        <f t="shared" si="5"/>
        <v>81</v>
      </c>
      <c r="G85" s="91">
        <v>81.4</v>
      </c>
      <c r="H85" s="91">
        <f t="shared" si="6"/>
        <v>81</v>
      </c>
      <c r="I85" s="91" t="s">
        <v>144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22</v>
      </c>
      <c r="B86" s="1" t="str">
        <f t="shared" si="1"/>
        <v>Feb 23, 2024</v>
      </c>
      <c r="C86" s="91">
        <f t="shared" si="2"/>
        <v>199.35</v>
      </c>
      <c r="D86" s="97">
        <f t="shared" si="4"/>
        <v>0.01969309463</v>
      </c>
      <c r="E86" s="91"/>
      <c r="F86" s="91">
        <f t="shared" si="5"/>
        <v>82</v>
      </c>
      <c r="G86" s="91">
        <v>81.6</v>
      </c>
      <c r="H86" s="91">
        <f t="shared" si="6"/>
        <v>82</v>
      </c>
      <c r="I86" s="91" t="s">
        <v>145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21</v>
      </c>
      <c r="B87" s="1" t="str">
        <f t="shared" si="1"/>
        <v>Feb 26, 2024</v>
      </c>
      <c r="C87" s="91">
        <f t="shared" si="2"/>
        <v>203.45</v>
      </c>
      <c r="D87" s="97">
        <f t="shared" si="4"/>
        <v>0.02056684224</v>
      </c>
      <c r="E87" s="91"/>
      <c r="F87" s="91">
        <f t="shared" si="5"/>
        <v>83</v>
      </c>
      <c r="G87" s="91">
        <v>81.7</v>
      </c>
      <c r="H87" s="91">
        <f t="shared" si="6"/>
        <v>83</v>
      </c>
      <c r="I87" s="91" t="s">
        <v>146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20</v>
      </c>
      <c r="B88" s="1" t="str">
        <f t="shared" si="1"/>
        <v>Feb 27, 2024</v>
      </c>
      <c r="C88" s="91">
        <f t="shared" si="2"/>
        <v>199</v>
      </c>
      <c r="D88" s="97">
        <f t="shared" si="4"/>
        <v>-0.02187269599</v>
      </c>
      <c r="E88" s="91"/>
      <c r="F88" s="91">
        <f t="shared" si="5"/>
        <v>84</v>
      </c>
      <c r="G88" s="91">
        <v>82.25</v>
      </c>
      <c r="H88" s="91">
        <f t="shared" si="6"/>
        <v>84</v>
      </c>
      <c r="I88" s="91" t="s">
        <v>147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19</v>
      </c>
      <c r="B89" s="1" t="str">
        <f t="shared" si="1"/>
        <v>Feb 28, 2024</v>
      </c>
      <c r="C89" s="91">
        <f t="shared" si="2"/>
        <v>191.4</v>
      </c>
      <c r="D89" s="97">
        <f t="shared" si="4"/>
        <v>-0.03819095477</v>
      </c>
      <c r="E89" s="91"/>
      <c r="F89" s="91">
        <f t="shared" si="5"/>
        <v>85</v>
      </c>
      <c r="G89" s="91">
        <v>83.25</v>
      </c>
      <c r="H89" s="91">
        <f t="shared" si="6"/>
        <v>85</v>
      </c>
      <c r="I89" s="91" t="s">
        <v>148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18</v>
      </c>
      <c r="B90" s="1" t="str">
        <f t="shared" si="1"/>
        <v>Feb 29, 2024</v>
      </c>
      <c r="C90" s="91">
        <f t="shared" si="2"/>
        <v>191.15</v>
      </c>
      <c r="D90" s="97">
        <f t="shared" si="4"/>
        <v>-0.001306165099</v>
      </c>
      <c r="E90" s="91"/>
      <c r="F90" s="91">
        <f t="shared" si="5"/>
        <v>86</v>
      </c>
      <c r="G90" s="91">
        <v>83.45</v>
      </c>
      <c r="H90" s="91">
        <f t="shared" si="6"/>
        <v>86</v>
      </c>
      <c r="I90" s="91" t="s">
        <v>149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17</v>
      </c>
      <c r="B91" s="1" t="str">
        <f t="shared" si="1"/>
        <v>Mar 01, 2024</v>
      </c>
      <c r="C91" s="91">
        <f t="shared" si="2"/>
        <v>194.4</v>
      </c>
      <c r="D91" s="97">
        <f t="shared" si="4"/>
        <v>0.01700235417</v>
      </c>
      <c r="E91" s="91"/>
      <c r="F91" s="91">
        <f t="shared" si="5"/>
        <v>87</v>
      </c>
      <c r="G91" s="91">
        <v>82.4</v>
      </c>
      <c r="H91" s="91">
        <f t="shared" si="6"/>
        <v>87</v>
      </c>
      <c r="I91" s="91" t="s">
        <v>150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16</v>
      </c>
      <c r="B92" s="1" t="str">
        <f t="shared" si="1"/>
        <v>Mar 04, 2024</v>
      </c>
      <c r="C92" s="91">
        <f t="shared" si="2"/>
        <v>195.6</v>
      </c>
      <c r="D92" s="97">
        <f t="shared" si="4"/>
        <v>0.006172839506</v>
      </c>
      <c r="E92" s="91"/>
      <c r="F92" s="91">
        <f t="shared" si="5"/>
        <v>88</v>
      </c>
      <c r="G92" s="91">
        <v>80.7</v>
      </c>
      <c r="H92" s="91">
        <f t="shared" si="6"/>
        <v>88</v>
      </c>
      <c r="I92" s="91" t="s">
        <v>151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15</v>
      </c>
      <c r="B93" s="1" t="str">
        <f t="shared" si="1"/>
        <v>Mar 05, 2024</v>
      </c>
      <c r="C93" s="91">
        <f t="shared" si="2"/>
        <v>200.15</v>
      </c>
      <c r="D93" s="97">
        <f t="shared" si="4"/>
        <v>0.02326175869</v>
      </c>
      <c r="E93" s="91"/>
      <c r="F93" s="91">
        <f t="shared" si="5"/>
        <v>89</v>
      </c>
      <c r="G93" s="91">
        <v>81.45</v>
      </c>
      <c r="H93" s="91">
        <f t="shared" si="6"/>
        <v>89</v>
      </c>
      <c r="I93" s="91" t="s">
        <v>152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14</v>
      </c>
      <c r="B94" s="1" t="str">
        <f t="shared" si="1"/>
        <v>Mar 06, 2024</v>
      </c>
      <c r="C94" s="91">
        <f t="shared" si="2"/>
        <v>195.9</v>
      </c>
      <c r="D94" s="97">
        <f t="shared" si="4"/>
        <v>-0.02123407444</v>
      </c>
      <c r="E94" s="91"/>
      <c r="F94" s="91">
        <f t="shared" si="5"/>
        <v>90</v>
      </c>
      <c r="G94" s="91">
        <v>81.75</v>
      </c>
      <c r="H94" s="91">
        <f t="shared" si="6"/>
        <v>90</v>
      </c>
      <c r="I94" s="91" t="s">
        <v>153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13</v>
      </c>
      <c r="B95" s="1" t="str">
        <f t="shared" si="1"/>
        <v>Mar 07, 2024</v>
      </c>
      <c r="C95" s="91">
        <f t="shared" si="2"/>
        <v>202.45</v>
      </c>
      <c r="D95" s="97">
        <f t="shared" si="4"/>
        <v>0.03343542624</v>
      </c>
      <c r="E95" s="91"/>
      <c r="F95" s="91">
        <f t="shared" si="5"/>
        <v>91</v>
      </c>
      <c r="G95" s="91">
        <v>81.25</v>
      </c>
      <c r="H95" s="91">
        <f t="shared" si="6"/>
        <v>91</v>
      </c>
      <c r="I95" s="91" t="s">
        <v>154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12</v>
      </c>
      <c r="B96" s="1" t="str">
        <f t="shared" si="1"/>
        <v>Mar 11, 2024</v>
      </c>
      <c r="C96" s="91">
        <f t="shared" si="2"/>
        <v>195.45</v>
      </c>
      <c r="D96" s="97">
        <f t="shared" si="4"/>
        <v>-0.03457643863</v>
      </c>
      <c r="E96" s="91"/>
      <c r="F96" s="91">
        <f t="shared" si="5"/>
        <v>92</v>
      </c>
      <c r="G96" s="91">
        <v>80.3</v>
      </c>
      <c r="H96" s="91">
        <f t="shared" si="6"/>
        <v>92</v>
      </c>
      <c r="I96" s="91" t="s">
        <v>155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11</v>
      </c>
      <c r="B97" s="1" t="str">
        <f t="shared" si="1"/>
        <v>Mar 12, 2024</v>
      </c>
      <c r="C97" s="91">
        <f t="shared" si="2"/>
        <v>182.35</v>
      </c>
      <c r="D97" s="97">
        <f t="shared" si="4"/>
        <v>-0.06702481453</v>
      </c>
      <c r="E97" s="91"/>
      <c r="F97" s="91">
        <f t="shared" si="5"/>
        <v>93</v>
      </c>
      <c r="G97" s="91">
        <v>79.45</v>
      </c>
      <c r="H97" s="91">
        <f t="shared" si="6"/>
        <v>93</v>
      </c>
      <c r="I97" s="91" t="s">
        <v>156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10</v>
      </c>
      <c r="B98" s="1" t="str">
        <f t="shared" si="1"/>
        <v>Mar 13, 2024</v>
      </c>
      <c r="C98" s="91">
        <f t="shared" si="2"/>
        <v>164.15</v>
      </c>
      <c r="D98" s="97">
        <f t="shared" si="4"/>
        <v>-0.09980806142</v>
      </c>
      <c r="E98" s="91"/>
      <c r="F98" s="91">
        <f t="shared" si="5"/>
        <v>94</v>
      </c>
      <c r="G98" s="91">
        <v>81.05</v>
      </c>
      <c r="H98" s="91">
        <f t="shared" si="6"/>
        <v>94</v>
      </c>
      <c r="I98" s="91" t="s">
        <v>157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9</v>
      </c>
      <c r="B99" s="1" t="str">
        <f t="shared" si="1"/>
        <v>Mar 14, 2024</v>
      </c>
      <c r="C99" s="91">
        <f t="shared" si="2"/>
        <v>180.55</v>
      </c>
      <c r="D99" s="97">
        <f t="shared" si="4"/>
        <v>0.09990862016</v>
      </c>
      <c r="E99" s="91"/>
      <c r="F99" s="91">
        <f t="shared" si="5"/>
        <v>95</v>
      </c>
      <c r="G99" s="91">
        <v>79.35</v>
      </c>
      <c r="H99" s="91">
        <f t="shared" si="6"/>
        <v>95</v>
      </c>
      <c r="I99" s="91" t="s">
        <v>158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8</v>
      </c>
      <c r="B100" s="1" t="str">
        <f t="shared" si="1"/>
        <v>Mar 15, 2024</v>
      </c>
      <c r="C100" s="91">
        <f t="shared" si="2"/>
        <v>188.8</v>
      </c>
      <c r="D100" s="97">
        <f t="shared" si="4"/>
        <v>0.04569371365</v>
      </c>
      <c r="E100" s="91"/>
      <c r="F100" s="91">
        <f t="shared" si="5"/>
        <v>96</v>
      </c>
      <c r="G100" s="91">
        <v>79.05</v>
      </c>
      <c r="H100" s="91">
        <f t="shared" si="6"/>
        <v>96</v>
      </c>
      <c r="I100" s="91" t="s">
        <v>159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7</v>
      </c>
      <c r="B101" s="1" t="str">
        <f t="shared" si="1"/>
        <v>Mar 18, 2024</v>
      </c>
      <c r="C101" s="91">
        <f t="shared" si="2"/>
        <v>180.5</v>
      </c>
      <c r="D101" s="97">
        <f t="shared" si="4"/>
        <v>-0.04396186441</v>
      </c>
      <c r="E101" s="91"/>
      <c r="F101" s="91">
        <f t="shared" si="5"/>
        <v>97</v>
      </c>
      <c r="G101" s="91">
        <v>75.8</v>
      </c>
      <c r="H101" s="91">
        <f t="shared" si="6"/>
        <v>97</v>
      </c>
      <c r="I101" s="91" t="s">
        <v>160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6</v>
      </c>
      <c r="B102" s="1" t="str">
        <f t="shared" si="1"/>
        <v>Mar 19, 2024</v>
      </c>
      <c r="C102" s="91">
        <f t="shared" si="2"/>
        <v>177.15</v>
      </c>
      <c r="D102" s="97">
        <f t="shared" si="4"/>
        <v>-0.01855955679</v>
      </c>
      <c r="E102" s="91"/>
      <c r="F102" s="91">
        <f t="shared" si="5"/>
        <v>98</v>
      </c>
      <c r="G102" s="91">
        <v>75.5</v>
      </c>
      <c r="H102" s="91">
        <f t="shared" si="6"/>
        <v>98</v>
      </c>
      <c r="I102" s="91" t="s">
        <v>161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5</v>
      </c>
      <c r="B103" s="1" t="str">
        <f t="shared" si="1"/>
        <v>Mar 20, 2024</v>
      </c>
      <c r="C103" s="91">
        <f t="shared" si="2"/>
        <v>175.65</v>
      </c>
      <c r="D103" s="97">
        <f t="shared" si="4"/>
        <v>-0.008467400508</v>
      </c>
      <c r="E103" s="91"/>
      <c r="F103" s="91">
        <f t="shared" si="5"/>
        <v>99</v>
      </c>
      <c r="G103" s="91">
        <v>74.2</v>
      </c>
      <c r="H103" s="91">
        <f t="shared" si="6"/>
        <v>99</v>
      </c>
      <c r="I103" s="91" t="s">
        <v>162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4</v>
      </c>
      <c r="B104" s="1" t="str">
        <f t="shared" si="1"/>
        <v>Mar 21, 2024</v>
      </c>
      <c r="C104" s="91">
        <f t="shared" si="2"/>
        <v>182.15</v>
      </c>
      <c r="D104" s="97">
        <f t="shared" si="4"/>
        <v>0.03700540848</v>
      </c>
      <c r="E104" s="91"/>
      <c r="F104" s="91">
        <f t="shared" si="5"/>
        <v>100</v>
      </c>
      <c r="G104" s="91">
        <v>75.25</v>
      </c>
      <c r="H104" s="91">
        <f t="shared" si="6"/>
        <v>100</v>
      </c>
      <c r="I104" s="91" t="s">
        <v>163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3</v>
      </c>
      <c r="B105" s="1" t="str">
        <f t="shared" si="1"/>
        <v>Mar 22, 2024</v>
      </c>
      <c r="C105" s="91">
        <f t="shared" si="2"/>
        <v>183.15</v>
      </c>
      <c r="D105" s="97">
        <f t="shared" si="4"/>
        <v>0.005489980785</v>
      </c>
      <c r="E105" s="91"/>
      <c r="F105" s="91">
        <f t="shared" si="5"/>
        <v>101</v>
      </c>
      <c r="G105" s="91">
        <v>74.95</v>
      </c>
      <c r="H105" s="91">
        <f t="shared" si="6"/>
        <v>101</v>
      </c>
      <c r="I105" s="91" t="s">
        <v>164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>
        <f t="shared" si="3"/>
        <v>2</v>
      </c>
      <c r="B106" s="1" t="str">
        <f t="shared" si="1"/>
        <v>Mar 26, 2024</v>
      </c>
      <c r="C106" s="91">
        <f t="shared" si="2"/>
        <v>184.15</v>
      </c>
      <c r="D106" s="97">
        <f t="shared" si="4"/>
        <v>0.00546000546</v>
      </c>
      <c r="E106" s="91"/>
      <c r="F106" s="91">
        <f t="shared" si="5"/>
        <v>102</v>
      </c>
      <c r="G106" s="91">
        <v>76.55</v>
      </c>
      <c r="H106" s="91">
        <f t="shared" si="6"/>
        <v>102</v>
      </c>
      <c r="I106" s="91" t="s">
        <v>165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91"/>
      <c r="D107" s="97"/>
      <c r="E107" s="91"/>
      <c r="F107" s="91"/>
      <c r="G107" s="91"/>
      <c r="H107" s="91"/>
      <c r="I107" s="9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56"/>
    <col customWidth="1" min="2" max="2" width="14.78"/>
    <col customWidth="1" min="3" max="4" width="10.78"/>
    <col customWidth="1" hidden="1" min="5" max="9" width="10.56"/>
    <col customWidth="1" min="10" max="11" width="10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1"/>
      <c r="C4" s="91"/>
      <c r="D4" s="91"/>
      <c r="E4" s="91"/>
      <c r="F4" s="91" t="s">
        <v>60</v>
      </c>
      <c r="G4" s="91"/>
      <c r="H4" s="91" t="s">
        <v>59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91" t="s">
        <v>61</v>
      </c>
      <c r="C5" s="91" t="s">
        <v>62</v>
      </c>
      <c r="D5" s="91" t="s">
        <v>51</v>
      </c>
      <c r="E5" s="91"/>
      <c r="F5" s="91"/>
      <c r="G5" s="91"/>
      <c r="H5" s="9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102.0</v>
      </c>
      <c r="B6" s="91" t="str">
        <f t="shared" ref="B6:B107" si="1">VLOOKUP(A6,$G$6:$H$107,2)</f>
        <v>Oct 26, 2023</v>
      </c>
      <c r="C6" s="91">
        <f t="shared" ref="C6:C107" si="2">VLOOKUP(A6,$E$6:$F$107,2)</f>
        <v>416.3</v>
      </c>
      <c r="D6" s="96" t="s">
        <v>64</v>
      </c>
      <c r="E6" s="91">
        <v>1.0</v>
      </c>
      <c r="F6" s="91">
        <v>595.05</v>
      </c>
      <c r="G6" s="91">
        <v>1.0</v>
      </c>
      <c r="H6" s="91" t="s">
        <v>63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ref="A7:A107" si="3">A6-1</f>
        <v>101</v>
      </c>
      <c r="B7" s="91" t="str">
        <f t="shared" si="1"/>
        <v>Oct 27, 2023</v>
      </c>
      <c r="C7" s="91">
        <f t="shared" si="2"/>
        <v>417.25</v>
      </c>
      <c r="D7" s="97">
        <f t="shared" ref="D7:D107" si="4">C7/C6-1</f>
        <v>0.002282008167</v>
      </c>
      <c r="E7" s="91">
        <f t="shared" ref="E7:E107" si="5">1+E6</f>
        <v>2</v>
      </c>
      <c r="F7" s="91">
        <v>589.35</v>
      </c>
      <c r="G7" s="91">
        <f t="shared" ref="G7:G107" si="6">1+G6</f>
        <v>2</v>
      </c>
      <c r="H7" s="91" t="s">
        <v>65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100</v>
      </c>
      <c r="B8" s="91" t="str">
        <f t="shared" si="1"/>
        <v>Oct 30, 2023</v>
      </c>
      <c r="C8" s="91">
        <f t="shared" si="2"/>
        <v>421.95</v>
      </c>
      <c r="D8" s="97">
        <f t="shared" si="4"/>
        <v>0.01126423008</v>
      </c>
      <c r="E8" s="91">
        <f t="shared" si="5"/>
        <v>3</v>
      </c>
      <c r="F8" s="91">
        <v>587.2</v>
      </c>
      <c r="G8" s="91">
        <f t="shared" si="6"/>
        <v>3</v>
      </c>
      <c r="H8" s="91" t="s">
        <v>66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99</v>
      </c>
      <c r="B9" s="91" t="str">
        <f t="shared" si="1"/>
        <v>Oct 31, 2023</v>
      </c>
      <c r="C9" s="91">
        <f t="shared" si="2"/>
        <v>424.45</v>
      </c>
      <c r="D9" s="97">
        <f t="shared" si="4"/>
        <v>0.005924872615</v>
      </c>
      <c r="E9" s="91">
        <f t="shared" si="5"/>
        <v>4</v>
      </c>
      <c r="F9" s="91">
        <v>576.35</v>
      </c>
      <c r="G9" s="91">
        <f t="shared" si="6"/>
        <v>4</v>
      </c>
      <c r="H9" s="91" t="s">
        <v>68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98</v>
      </c>
      <c r="B10" s="91" t="str">
        <f t="shared" si="1"/>
        <v>Nov 01, 2023</v>
      </c>
      <c r="C10" s="91">
        <f t="shared" si="2"/>
        <v>406.65</v>
      </c>
      <c r="D10" s="97">
        <f t="shared" si="4"/>
        <v>-0.04193662387</v>
      </c>
      <c r="E10" s="91">
        <f t="shared" si="5"/>
        <v>5</v>
      </c>
      <c r="F10" s="91">
        <v>580.3</v>
      </c>
      <c r="G10" s="91">
        <f t="shared" si="6"/>
        <v>5</v>
      </c>
      <c r="H10" s="91" t="s">
        <v>69</v>
      </c>
      <c r="I10" s="1"/>
      <c r="J10" s="2" t="s">
        <v>51</v>
      </c>
      <c r="K10" s="3">
        <f>AVERAGE(D7:D107)</f>
        <v>0.003754572041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97</v>
      </c>
      <c r="B11" s="91" t="str">
        <f t="shared" si="1"/>
        <v>Nov 02, 2023</v>
      </c>
      <c r="C11" s="91">
        <f t="shared" si="2"/>
        <v>419.7</v>
      </c>
      <c r="D11" s="97">
        <f t="shared" si="4"/>
        <v>0.03209147916</v>
      </c>
      <c r="E11" s="91">
        <f t="shared" si="5"/>
        <v>6</v>
      </c>
      <c r="F11" s="91">
        <v>584.65</v>
      </c>
      <c r="G11" s="91">
        <f t="shared" si="6"/>
        <v>6</v>
      </c>
      <c r="H11" s="91" t="s">
        <v>70</v>
      </c>
      <c r="I11" s="1"/>
      <c r="J11" s="2" t="s">
        <v>67</v>
      </c>
      <c r="K11" s="98">
        <f>STDEV(D7:D107)</f>
        <v>0.02075246861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96</v>
      </c>
      <c r="B12" s="91" t="str">
        <f t="shared" si="1"/>
        <v>Nov 03, 2023</v>
      </c>
      <c r="C12" s="91">
        <f t="shared" si="2"/>
        <v>420.9</v>
      </c>
      <c r="D12" s="97">
        <f t="shared" si="4"/>
        <v>0.002859185132</v>
      </c>
      <c r="E12" s="91">
        <f t="shared" si="5"/>
        <v>7</v>
      </c>
      <c r="F12" s="91">
        <v>600.75</v>
      </c>
      <c r="G12" s="91">
        <f t="shared" si="6"/>
        <v>7</v>
      </c>
      <c r="H12" s="91" t="s">
        <v>71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95</v>
      </c>
      <c r="B13" s="91" t="str">
        <f t="shared" si="1"/>
        <v>Nov 06, 2023</v>
      </c>
      <c r="C13" s="91">
        <f t="shared" si="2"/>
        <v>421.25</v>
      </c>
      <c r="D13" s="97">
        <f t="shared" si="4"/>
        <v>0.0008315514374</v>
      </c>
      <c r="E13" s="91">
        <f t="shared" si="5"/>
        <v>8</v>
      </c>
      <c r="F13" s="91">
        <v>582.45</v>
      </c>
      <c r="G13" s="91">
        <f t="shared" si="6"/>
        <v>8</v>
      </c>
      <c r="H13" s="91" t="s">
        <v>72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94</v>
      </c>
      <c r="B14" s="91" t="str">
        <f t="shared" si="1"/>
        <v>Nov 07, 2023</v>
      </c>
      <c r="C14" s="91">
        <f t="shared" si="2"/>
        <v>419.55</v>
      </c>
      <c r="D14" s="97">
        <f t="shared" si="4"/>
        <v>-0.004035608309</v>
      </c>
      <c r="E14" s="91">
        <f t="shared" si="5"/>
        <v>9</v>
      </c>
      <c r="F14" s="91">
        <v>559.25</v>
      </c>
      <c r="G14" s="91">
        <f t="shared" si="6"/>
        <v>9</v>
      </c>
      <c r="H14" s="91" t="s">
        <v>73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93</v>
      </c>
      <c r="B15" s="91" t="str">
        <f t="shared" si="1"/>
        <v>Nov 08, 2023</v>
      </c>
      <c r="C15" s="91">
        <f t="shared" si="2"/>
        <v>421</v>
      </c>
      <c r="D15" s="97">
        <f t="shared" si="4"/>
        <v>0.003456083899</v>
      </c>
      <c r="E15" s="91">
        <f t="shared" si="5"/>
        <v>10</v>
      </c>
      <c r="F15" s="91">
        <v>587.55</v>
      </c>
      <c r="G15" s="91">
        <f t="shared" si="6"/>
        <v>10</v>
      </c>
      <c r="H15" s="91" t="s">
        <v>74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92</v>
      </c>
      <c r="B16" s="91" t="str">
        <f t="shared" si="1"/>
        <v>Nov 09, 2023</v>
      </c>
      <c r="C16" s="91">
        <f t="shared" si="2"/>
        <v>418.3</v>
      </c>
      <c r="D16" s="97">
        <f t="shared" si="4"/>
        <v>-0.006413301663</v>
      </c>
      <c r="E16" s="91">
        <f t="shared" si="5"/>
        <v>11</v>
      </c>
      <c r="F16" s="91">
        <v>602.05</v>
      </c>
      <c r="G16" s="91">
        <f t="shared" si="6"/>
        <v>11</v>
      </c>
      <c r="H16" s="91" t="s">
        <v>75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91</v>
      </c>
      <c r="B17" s="91" t="str">
        <f t="shared" si="1"/>
        <v>Nov 10, 2023</v>
      </c>
      <c r="C17" s="91">
        <f t="shared" si="2"/>
        <v>418.1</v>
      </c>
      <c r="D17" s="97">
        <f t="shared" si="4"/>
        <v>-0.0004781257471</v>
      </c>
      <c r="E17" s="91">
        <f t="shared" si="5"/>
        <v>12</v>
      </c>
      <c r="F17" s="91">
        <v>603.15</v>
      </c>
      <c r="G17" s="91">
        <f t="shared" si="6"/>
        <v>12</v>
      </c>
      <c r="H17" s="91" t="s">
        <v>76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90</v>
      </c>
      <c r="B18" s="91" t="str">
        <f t="shared" si="1"/>
        <v>Nov 13, 2023</v>
      </c>
      <c r="C18" s="91">
        <f t="shared" si="2"/>
        <v>419.4</v>
      </c>
      <c r="D18" s="97">
        <f t="shared" si="4"/>
        <v>0.003109303994</v>
      </c>
      <c r="E18" s="91">
        <f t="shared" si="5"/>
        <v>13</v>
      </c>
      <c r="F18" s="91">
        <v>598.3</v>
      </c>
      <c r="G18" s="91">
        <f t="shared" si="6"/>
        <v>13</v>
      </c>
      <c r="H18" s="91" t="s">
        <v>77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89</v>
      </c>
      <c r="B19" s="91" t="str">
        <f t="shared" si="1"/>
        <v>Nov 15, 2023</v>
      </c>
      <c r="C19" s="91">
        <f t="shared" si="2"/>
        <v>418.15</v>
      </c>
      <c r="D19" s="97">
        <f t="shared" si="4"/>
        <v>-0.002980448259</v>
      </c>
      <c r="E19" s="91">
        <f t="shared" si="5"/>
        <v>14</v>
      </c>
      <c r="F19" s="91">
        <v>613.1</v>
      </c>
      <c r="G19" s="91">
        <f t="shared" si="6"/>
        <v>14</v>
      </c>
      <c r="H19" s="91" t="s">
        <v>78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88</v>
      </c>
      <c r="B20" s="91" t="str">
        <f t="shared" si="1"/>
        <v>Nov 16, 2023</v>
      </c>
      <c r="C20" s="91">
        <f t="shared" si="2"/>
        <v>419.9</v>
      </c>
      <c r="D20" s="97">
        <f t="shared" si="4"/>
        <v>0.00418510104</v>
      </c>
      <c r="E20" s="91">
        <f t="shared" si="5"/>
        <v>15</v>
      </c>
      <c r="F20" s="91">
        <v>617.15</v>
      </c>
      <c r="G20" s="91">
        <f t="shared" si="6"/>
        <v>15</v>
      </c>
      <c r="H20" s="91" t="s">
        <v>79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87</v>
      </c>
      <c r="B21" s="91" t="str">
        <f t="shared" si="1"/>
        <v>Nov 17, 2023</v>
      </c>
      <c r="C21" s="91">
        <f t="shared" si="2"/>
        <v>421.1</v>
      </c>
      <c r="D21" s="97">
        <f t="shared" si="4"/>
        <v>0.002857823291</v>
      </c>
      <c r="E21" s="91">
        <f t="shared" si="5"/>
        <v>16</v>
      </c>
      <c r="F21" s="91">
        <v>617.6</v>
      </c>
      <c r="G21" s="91">
        <f t="shared" si="6"/>
        <v>16</v>
      </c>
      <c r="H21" s="91" t="s">
        <v>80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86</v>
      </c>
      <c r="B22" s="91" t="str">
        <f t="shared" si="1"/>
        <v>Nov 20, 2023</v>
      </c>
      <c r="C22" s="91">
        <f t="shared" si="2"/>
        <v>421.5</v>
      </c>
      <c r="D22" s="97">
        <f t="shared" si="4"/>
        <v>0.000949893137</v>
      </c>
      <c r="E22" s="91">
        <f t="shared" si="5"/>
        <v>17</v>
      </c>
      <c r="F22" s="91">
        <v>605.9</v>
      </c>
      <c r="G22" s="91">
        <f t="shared" si="6"/>
        <v>17</v>
      </c>
      <c r="H22" s="91" t="s">
        <v>81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85</v>
      </c>
      <c r="B23" s="91" t="str">
        <f t="shared" si="1"/>
        <v>Nov 21, 2023</v>
      </c>
      <c r="C23" s="91">
        <f t="shared" si="2"/>
        <v>420.15</v>
      </c>
      <c r="D23" s="97">
        <f t="shared" si="4"/>
        <v>-0.003202846975</v>
      </c>
      <c r="E23" s="91">
        <f t="shared" si="5"/>
        <v>18</v>
      </c>
      <c r="F23" s="91">
        <v>589.25</v>
      </c>
      <c r="G23" s="91">
        <f t="shared" si="6"/>
        <v>18</v>
      </c>
      <c r="H23" s="91" t="s">
        <v>82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84</v>
      </c>
      <c r="B24" s="91" t="str">
        <f t="shared" si="1"/>
        <v>Nov 22, 2023</v>
      </c>
      <c r="C24" s="91">
        <f t="shared" si="2"/>
        <v>414.25</v>
      </c>
      <c r="D24" s="97">
        <f t="shared" si="4"/>
        <v>-0.01404260383</v>
      </c>
      <c r="E24" s="91">
        <f t="shared" si="5"/>
        <v>19</v>
      </c>
      <c r="F24" s="91">
        <v>603.35</v>
      </c>
      <c r="G24" s="91">
        <f t="shared" si="6"/>
        <v>19</v>
      </c>
      <c r="H24" s="91" t="s">
        <v>83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83</v>
      </c>
      <c r="B25" s="91" t="str">
        <f t="shared" si="1"/>
        <v>Nov 23, 2023</v>
      </c>
      <c r="C25" s="91">
        <f t="shared" si="2"/>
        <v>415.6</v>
      </c>
      <c r="D25" s="97">
        <f t="shared" si="4"/>
        <v>0.003258901629</v>
      </c>
      <c r="E25" s="91">
        <f t="shared" si="5"/>
        <v>20</v>
      </c>
      <c r="F25" s="91">
        <v>608.6</v>
      </c>
      <c r="G25" s="91">
        <f t="shared" si="6"/>
        <v>20</v>
      </c>
      <c r="H25" s="91" t="s">
        <v>84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82</v>
      </c>
      <c r="B26" s="91" t="str">
        <f t="shared" si="1"/>
        <v>Nov 24, 2023</v>
      </c>
      <c r="C26" s="91">
        <f t="shared" si="2"/>
        <v>414.3</v>
      </c>
      <c r="D26" s="97">
        <f t="shared" si="4"/>
        <v>-0.0031280077</v>
      </c>
      <c r="E26" s="91">
        <f t="shared" si="5"/>
        <v>21</v>
      </c>
      <c r="F26" s="91">
        <v>602.95</v>
      </c>
      <c r="G26" s="91">
        <f t="shared" si="6"/>
        <v>21</v>
      </c>
      <c r="H26" s="91" t="s">
        <v>85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81</v>
      </c>
      <c r="B27" s="91" t="str">
        <f t="shared" si="1"/>
        <v>Nov 28, 2023</v>
      </c>
      <c r="C27" s="91">
        <f t="shared" si="2"/>
        <v>431.2</v>
      </c>
      <c r="D27" s="97">
        <f t="shared" si="4"/>
        <v>0.04079169684</v>
      </c>
      <c r="E27" s="91">
        <f t="shared" si="5"/>
        <v>22</v>
      </c>
      <c r="F27" s="91">
        <v>592.75</v>
      </c>
      <c r="G27" s="91">
        <f t="shared" si="6"/>
        <v>22</v>
      </c>
      <c r="H27" s="91" t="s">
        <v>86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80</v>
      </c>
      <c r="B28" s="91" t="str">
        <f t="shared" si="1"/>
        <v>Nov 29, 2023</v>
      </c>
      <c r="C28" s="91">
        <f t="shared" si="2"/>
        <v>435.65</v>
      </c>
      <c r="D28" s="97">
        <f t="shared" si="4"/>
        <v>0.01032003711</v>
      </c>
      <c r="E28" s="91">
        <f t="shared" si="5"/>
        <v>23</v>
      </c>
      <c r="F28" s="91">
        <v>587.8</v>
      </c>
      <c r="G28" s="91">
        <f t="shared" si="6"/>
        <v>23</v>
      </c>
      <c r="H28" s="91" t="s">
        <v>87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79</v>
      </c>
      <c r="B29" s="91" t="str">
        <f t="shared" si="1"/>
        <v>Nov 30, 2023</v>
      </c>
      <c r="C29" s="91">
        <f t="shared" si="2"/>
        <v>439.25</v>
      </c>
      <c r="D29" s="97">
        <f t="shared" si="4"/>
        <v>0.008263514289</v>
      </c>
      <c r="E29" s="91">
        <f t="shared" si="5"/>
        <v>24</v>
      </c>
      <c r="F29" s="91">
        <v>588.8</v>
      </c>
      <c r="G29" s="91">
        <f t="shared" si="6"/>
        <v>24</v>
      </c>
      <c r="H29" s="91" t="s">
        <v>88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78</v>
      </c>
      <c r="B30" s="91" t="str">
        <f t="shared" si="1"/>
        <v>Dec 01, 2023</v>
      </c>
      <c r="C30" s="91">
        <f t="shared" si="2"/>
        <v>442</v>
      </c>
      <c r="D30" s="97">
        <f t="shared" si="4"/>
        <v>0.006260671599</v>
      </c>
      <c r="E30" s="91">
        <f t="shared" si="5"/>
        <v>25</v>
      </c>
      <c r="F30" s="91">
        <v>584.85</v>
      </c>
      <c r="G30" s="91">
        <f t="shared" si="6"/>
        <v>25</v>
      </c>
      <c r="H30" s="91" t="s">
        <v>89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77</v>
      </c>
      <c r="B31" s="91" t="str">
        <f t="shared" si="1"/>
        <v>Dec 04, 2023</v>
      </c>
      <c r="C31" s="91">
        <f t="shared" si="2"/>
        <v>474.55</v>
      </c>
      <c r="D31" s="97">
        <f t="shared" si="4"/>
        <v>0.07364253394</v>
      </c>
      <c r="E31" s="91">
        <f t="shared" si="5"/>
        <v>26</v>
      </c>
      <c r="F31" s="91">
        <v>585.1</v>
      </c>
      <c r="G31" s="91">
        <f t="shared" si="6"/>
        <v>26</v>
      </c>
      <c r="H31" s="91" t="s">
        <v>90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76</v>
      </c>
      <c r="B32" s="91" t="str">
        <f t="shared" si="1"/>
        <v>Dec 05, 2023</v>
      </c>
      <c r="C32" s="91">
        <f t="shared" si="2"/>
        <v>509.05</v>
      </c>
      <c r="D32" s="97">
        <f t="shared" si="4"/>
        <v>0.07270045306</v>
      </c>
      <c r="E32" s="91">
        <f t="shared" si="5"/>
        <v>27</v>
      </c>
      <c r="F32" s="91">
        <v>572.25</v>
      </c>
      <c r="G32" s="91">
        <f t="shared" si="6"/>
        <v>27</v>
      </c>
      <c r="H32" s="91" t="s">
        <v>91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75</v>
      </c>
      <c r="B33" s="91" t="str">
        <f t="shared" si="1"/>
        <v>Dec 06, 2023</v>
      </c>
      <c r="C33" s="91">
        <f t="shared" si="2"/>
        <v>501.1</v>
      </c>
      <c r="D33" s="97">
        <f t="shared" si="4"/>
        <v>-0.01561732639</v>
      </c>
      <c r="E33" s="91">
        <f t="shared" si="5"/>
        <v>28</v>
      </c>
      <c r="F33" s="91">
        <v>570.9</v>
      </c>
      <c r="G33" s="91">
        <f t="shared" si="6"/>
        <v>28</v>
      </c>
      <c r="H33" s="91" t="s">
        <v>92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74</v>
      </c>
      <c r="B34" s="91" t="str">
        <f t="shared" si="1"/>
        <v>Dec 07, 2023</v>
      </c>
      <c r="C34" s="91">
        <f t="shared" si="2"/>
        <v>505.1</v>
      </c>
      <c r="D34" s="97">
        <f t="shared" si="4"/>
        <v>0.007982438635</v>
      </c>
      <c r="E34" s="91">
        <f t="shared" si="5"/>
        <v>29</v>
      </c>
      <c r="F34" s="91">
        <v>568.25</v>
      </c>
      <c r="G34" s="91">
        <f t="shared" si="6"/>
        <v>29</v>
      </c>
      <c r="H34" s="91" t="s">
        <v>93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73</v>
      </c>
      <c r="B35" s="91" t="str">
        <f t="shared" si="1"/>
        <v>Dec 08, 2023</v>
      </c>
      <c r="C35" s="91">
        <f t="shared" si="2"/>
        <v>494.35</v>
      </c>
      <c r="D35" s="97">
        <f t="shared" si="4"/>
        <v>-0.02128291427</v>
      </c>
      <c r="E35" s="91">
        <f t="shared" si="5"/>
        <v>30</v>
      </c>
      <c r="F35" s="91">
        <v>563.5</v>
      </c>
      <c r="G35" s="91">
        <f t="shared" si="6"/>
        <v>30</v>
      </c>
      <c r="H35" s="91" t="s">
        <v>94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72</v>
      </c>
      <c r="B36" s="91" t="str">
        <f t="shared" si="1"/>
        <v>Dec 11, 2023</v>
      </c>
      <c r="C36" s="91">
        <f t="shared" si="2"/>
        <v>504</v>
      </c>
      <c r="D36" s="97">
        <f t="shared" si="4"/>
        <v>0.01952058258</v>
      </c>
      <c r="E36" s="91">
        <f t="shared" si="5"/>
        <v>31</v>
      </c>
      <c r="F36" s="91">
        <v>576.2</v>
      </c>
      <c r="G36" s="91">
        <f t="shared" si="6"/>
        <v>31</v>
      </c>
      <c r="H36" s="91" t="s">
        <v>95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71</v>
      </c>
      <c r="B37" s="91" t="str">
        <f t="shared" si="1"/>
        <v>Dec 12, 2023</v>
      </c>
      <c r="C37" s="91">
        <f t="shared" si="2"/>
        <v>501.35</v>
      </c>
      <c r="D37" s="97">
        <f t="shared" si="4"/>
        <v>-0.005257936508</v>
      </c>
      <c r="E37" s="91">
        <f t="shared" si="5"/>
        <v>32</v>
      </c>
      <c r="F37" s="91">
        <v>563.35</v>
      </c>
      <c r="G37" s="91">
        <f t="shared" si="6"/>
        <v>32</v>
      </c>
      <c r="H37" s="91" t="s">
        <v>96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70</v>
      </c>
      <c r="B38" s="91" t="str">
        <f t="shared" si="1"/>
        <v>Dec 13, 2023</v>
      </c>
      <c r="C38" s="91">
        <f t="shared" si="2"/>
        <v>509.05</v>
      </c>
      <c r="D38" s="97">
        <f t="shared" si="4"/>
        <v>0.01535853196</v>
      </c>
      <c r="E38" s="91">
        <f t="shared" si="5"/>
        <v>33</v>
      </c>
      <c r="F38" s="91">
        <v>568.2</v>
      </c>
      <c r="G38" s="91">
        <f t="shared" si="6"/>
        <v>33</v>
      </c>
      <c r="H38" s="91" t="s">
        <v>97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69</v>
      </c>
      <c r="B39" s="91" t="str">
        <f t="shared" si="1"/>
        <v>Dec 14, 2023</v>
      </c>
      <c r="C39" s="91">
        <f t="shared" si="2"/>
        <v>520.25</v>
      </c>
      <c r="D39" s="97">
        <f t="shared" si="4"/>
        <v>0.022001768</v>
      </c>
      <c r="E39" s="91">
        <f t="shared" si="5"/>
        <v>34</v>
      </c>
      <c r="F39" s="91">
        <v>566.6</v>
      </c>
      <c r="G39" s="91">
        <f t="shared" si="6"/>
        <v>34</v>
      </c>
      <c r="H39" s="91" t="s">
        <v>98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68</v>
      </c>
      <c r="B40" s="91" t="str">
        <f t="shared" si="1"/>
        <v>Dec 15, 2023</v>
      </c>
      <c r="C40" s="91">
        <f t="shared" si="2"/>
        <v>522.4</v>
      </c>
      <c r="D40" s="97">
        <f t="shared" si="4"/>
        <v>0.004132628544</v>
      </c>
      <c r="E40" s="91">
        <f t="shared" si="5"/>
        <v>35</v>
      </c>
      <c r="F40" s="91">
        <v>555.0</v>
      </c>
      <c r="G40" s="91">
        <f t="shared" si="6"/>
        <v>35</v>
      </c>
      <c r="H40" s="91" t="s">
        <v>99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67</v>
      </c>
      <c r="B41" s="91" t="str">
        <f t="shared" si="1"/>
        <v>Dec 18, 2023</v>
      </c>
      <c r="C41" s="91">
        <f t="shared" si="2"/>
        <v>525.65</v>
      </c>
      <c r="D41" s="97">
        <f t="shared" si="4"/>
        <v>0.006221286371</v>
      </c>
      <c r="E41" s="91">
        <f t="shared" si="5"/>
        <v>36</v>
      </c>
      <c r="F41" s="91">
        <v>557.4</v>
      </c>
      <c r="G41" s="91">
        <f t="shared" si="6"/>
        <v>36</v>
      </c>
      <c r="H41" s="91" t="s">
        <v>100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66</v>
      </c>
      <c r="B42" s="91" t="str">
        <f t="shared" si="1"/>
        <v>Dec 19, 2023</v>
      </c>
      <c r="C42" s="91">
        <f t="shared" si="2"/>
        <v>522.35</v>
      </c>
      <c r="D42" s="97">
        <f t="shared" si="4"/>
        <v>-0.006277941596</v>
      </c>
      <c r="E42" s="91">
        <f t="shared" si="5"/>
        <v>37</v>
      </c>
      <c r="F42" s="91">
        <v>565.05</v>
      </c>
      <c r="G42" s="91">
        <f t="shared" si="6"/>
        <v>37</v>
      </c>
      <c r="H42" s="91" t="s">
        <v>101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65</v>
      </c>
      <c r="B43" s="91" t="str">
        <f t="shared" si="1"/>
        <v>Dec 20, 2023</v>
      </c>
      <c r="C43" s="91">
        <f t="shared" si="2"/>
        <v>490.45</v>
      </c>
      <c r="D43" s="97">
        <f t="shared" si="4"/>
        <v>-0.06107016368</v>
      </c>
      <c r="E43" s="91">
        <f t="shared" si="5"/>
        <v>38</v>
      </c>
      <c r="F43" s="91">
        <v>560.3</v>
      </c>
      <c r="G43" s="91">
        <f t="shared" si="6"/>
        <v>38</v>
      </c>
      <c r="H43" s="91" t="s">
        <v>102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64</v>
      </c>
      <c r="B44" s="91" t="str">
        <f t="shared" si="1"/>
        <v>Dec 21, 2023</v>
      </c>
      <c r="C44" s="91">
        <f t="shared" si="2"/>
        <v>503.9</v>
      </c>
      <c r="D44" s="97">
        <f t="shared" si="4"/>
        <v>0.02742379447</v>
      </c>
      <c r="E44" s="91">
        <f t="shared" si="5"/>
        <v>39</v>
      </c>
      <c r="F44" s="91">
        <v>570.85</v>
      </c>
      <c r="G44" s="91">
        <f t="shared" si="6"/>
        <v>39</v>
      </c>
      <c r="H44" s="91" t="s">
        <v>103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63</v>
      </c>
      <c r="B45" s="91" t="str">
        <f t="shared" si="1"/>
        <v>Dec 22, 2023</v>
      </c>
      <c r="C45" s="91">
        <f t="shared" si="2"/>
        <v>503.8</v>
      </c>
      <c r="D45" s="97">
        <f t="shared" si="4"/>
        <v>-0.0001984520738</v>
      </c>
      <c r="E45" s="91">
        <f t="shared" si="5"/>
        <v>40</v>
      </c>
      <c r="F45" s="91">
        <v>574.1</v>
      </c>
      <c r="G45" s="91">
        <f t="shared" si="6"/>
        <v>40</v>
      </c>
      <c r="H45" s="91" t="s">
        <v>104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62</v>
      </c>
      <c r="B46" s="91" t="str">
        <f t="shared" si="1"/>
        <v>Dec 26, 2023</v>
      </c>
      <c r="C46" s="91">
        <f t="shared" si="2"/>
        <v>505.35</v>
      </c>
      <c r="D46" s="97">
        <f t="shared" si="4"/>
        <v>0.003076617705</v>
      </c>
      <c r="E46" s="91">
        <f t="shared" si="5"/>
        <v>41</v>
      </c>
      <c r="F46" s="91">
        <v>560.15</v>
      </c>
      <c r="G46" s="91">
        <f t="shared" si="6"/>
        <v>41</v>
      </c>
      <c r="H46" s="91" t="s">
        <v>105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61</v>
      </c>
      <c r="B47" s="91" t="str">
        <f t="shared" si="1"/>
        <v>Dec 27, 2023</v>
      </c>
      <c r="C47" s="91">
        <f t="shared" si="2"/>
        <v>517</v>
      </c>
      <c r="D47" s="97">
        <f t="shared" si="4"/>
        <v>0.02305332938</v>
      </c>
      <c r="E47" s="91">
        <f t="shared" si="5"/>
        <v>42</v>
      </c>
      <c r="F47" s="91">
        <v>527.45</v>
      </c>
      <c r="G47" s="91">
        <f t="shared" si="6"/>
        <v>42</v>
      </c>
      <c r="H47" s="91" t="s">
        <v>106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60</v>
      </c>
      <c r="B48" s="91" t="str">
        <f t="shared" si="1"/>
        <v>Dec 28, 2023</v>
      </c>
      <c r="C48" s="91">
        <f t="shared" si="2"/>
        <v>514.25</v>
      </c>
      <c r="D48" s="97">
        <f t="shared" si="4"/>
        <v>-0.005319148936</v>
      </c>
      <c r="E48" s="91">
        <f t="shared" si="5"/>
        <v>43</v>
      </c>
      <c r="F48" s="91">
        <v>525.05</v>
      </c>
      <c r="G48" s="91">
        <f t="shared" si="6"/>
        <v>43</v>
      </c>
      <c r="H48" s="91" t="s">
        <v>107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59</v>
      </c>
      <c r="B49" s="91" t="str">
        <f t="shared" si="1"/>
        <v>Dec 29, 2023</v>
      </c>
      <c r="C49" s="91">
        <f t="shared" si="2"/>
        <v>520.9</v>
      </c>
      <c r="D49" s="97">
        <f t="shared" si="4"/>
        <v>0.01293145357</v>
      </c>
      <c r="E49" s="91">
        <f t="shared" si="5"/>
        <v>44</v>
      </c>
      <c r="F49" s="91">
        <v>537.1</v>
      </c>
      <c r="G49" s="91">
        <f t="shared" si="6"/>
        <v>44</v>
      </c>
      <c r="H49" s="91" t="s">
        <v>108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58</v>
      </c>
      <c r="B50" s="91" t="str">
        <f t="shared" si="1"/>
        <v>Jan 01, 2024</v>
      </c>
      <c r="C50" s="91">
        <f t="shared" si="2"/>
        <v>534.3</v>
      </c>
      <c r="D50" s="97">
        <f t="shared" si="4"/>
        <v>0.02572470724</v>
      </c>
      <c r="E50" s="91">
        <f t="shared" si="5"/>
        <v>45</v>
      </c>
      <c r="F50" s="91">
        <v>524.15</v>
      </c>
      <c r="G50" s="91">
        <f t="shared" si="6"/>
        <v>45</v>
      </c>
      <c r="H50" s="91" t="s">
        <v>109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57</v>
      </c>
      <c r="B51" s="91" t="str">
        <f t="shared" si="1"/>
        <v>Jan 02, 2024</v>
      </c>
      <c r="C51" s="91">
        <f t="shared" si="2"/>
        <v>530.9</v>
      </c>
      <c r="D51" s="97">
        <f t="shared" si="4"/>
        <v>-0.006363466217</v>
      </c>
      <c r="E51" s="91">
        <f t="shared" si="5"/>
        <v>46</v>
      </c>
      <c r="F51" s="91">
        <v>520.55</v>
      </c>
      <c r="G51" s="91">
        <f t="shared" si="6"/>
        <v>46</v>
      </c>
      <c r="H51" s="91" t="s">
        <v>110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56</v>
      </c>
      <c r="B52" s="91" t="str">
        <f t="shared" si="1"/>
        <v>Jan 03, 2024</v>
      </c>
      <c r="C52" s="91">
        <f t="shared" si="2"/>
        <v>536.1</v>
      </c>
      <c r="D52" s="97">
        <f t="shared" si="4"/>
        <v>0.009794688265</v>
      </c>
      <c r="E52" s="91">
        <f t="shared" si="5"/>
        <v>47</v>
      </c>
      <c r="F52" s="91">
        <v>528.7</v>
      </c>
      <c r="G52" s="91">
        <f t="shared" si="6"/>
        <v>47</v>
      </c>
      <c r="H52" s="91" t="s">
        <v>111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55</v>
      </c>
      <c r="B53" s="91" t="str">
        <f t="shared" si="1"/>
        <v>Jan 04, 2024</v>
      </c>
      <c r="C53" s="91">
        <f t="shared" si="2"/>
        <v>549.45</v>
      </c>
      <c r="D53" s="97">
        <f t="shared" si="4"/>
        <v>0.02490207051</v>
      </c>
      <c r="E53" s="91">
        <f t="shared" si="5"/>
        <v>48</v>
      </c>
      <c r="F53" s="91">
        <v>531.45</v>
      </c>
      <c r="G53" s="91">
        <f t="shared" si="6"/>
        <v>48</v>
      </c>
      <c r="H53" s="91" t="s">
        <v>112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54</v>
      </c>
      <c r="B54" s="91" t="str">
        <f t="shared" si="1"/>
        <v>Jan 05, 2024</v>
      </c>
      <c r="C54" s="91">
        <f t="shared" si="2"/>
        <v>542.35</v>
      </c>
      <c r="D54" s="97">
        <f t="shared" si="4"/>
        <v>-0.01292201292</v>
      </c>
      <c r="E54" s="91">
        <f t="shared" si="5"/>
        <v>49</v>
      </c>
      <c r="F54" s="91">
        <v>532.4</v>
      </c>
      <c r="G54" s="91">
        <f t="shared" si="6"/>
        <v>49</v>
      </c>
      <c r="H54" s="91" t="s">
        <v>113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53</v>
      </c>
      <c r="B55" s="91" t="str">
        <f t="shared" si="1"/>
        <v>Jan 08, 2024</v>
      </c>
      <c r="C55" s="91">
        <f t="shared" si="2"/>
        <v>530.2</v>
      </c>
      <c r="D55" s="97">
        <f t="shared" si="4"/>
        <v>-0.02240250761</v>
      </c>
      <c r="E55" s="91">
        <f t="shared" si="5"/>
        <v>50</v>
      </c>
      <c r="F55" s="91">
        <v>538.25</v>
      </c>
      <c r="G55" s="91">
        <f t="shared" si="6"/>
        <v>50</v>
      </c>
      <c r="H55" s="91" t="s">
        <v>114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52</v>
      </c>
      <c r="B56" s="91" t="str">
        <f t="shared" si="1"/>
        <v>Jan 09, 2024</v>
      </c>
      <c r="C56" s="91">
        <f t="shared" si="2"/>
        <v>525.2</v>
      </c>
      <c r="D56" s="97">
        <f t="shared" si="4"/>
        <v>-0.009430403621</v>
      </c>
      <c r="E56" s="91">
        <f t="shared" si="5"/>
        <v>51</v>
      </c>
      <c r="F56" s="91">
        <v>526.15</v>
      </c>
      <c r="G56" s="91">
        <f t="shared" si="6"/>
        <v>51</v>
      </c>
      <c r="H56" s="91" t="s">
        <v>115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51</v>
      </c>
      <c r="B57" s="91" t="str">
        <f t="shared" si="1"/>
        <v>Jan 10, 2024</v>
      </c>
      <c r="C57" s="91">
        <f t="shared" si="2"/>
        <v>526.15</v>
      </c>
      <c r="D57" s="97">
        <f t="shared" si="4"/>
        <v>0.00180883473</v>
      </c>
      <c r="E57" s="91">
        <f t="shared" si="5"/>
        <v>52</v>
      </c>
      <c r="F57" s="91">
        <v>525.2</v>
      </c>
      <c r="G57" s="91">
        <f t="shared" si="6"/>
        <v>52</v>
      </c>
      <c r="H57" s="91" t="s">
        <v>116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50</v>
      </c>
      <c r="B58" s="91" t="str">
        <f t="shared" si="1"/>
        <v>Jan 11, 2024</v>
      </c>
      <c r="C58" s="91">
        <f t="shared" si="2"/>
        <v>538.25</v>
      </c>
      <c r="D58" s="97">
        <f t="shared" si="4"/>
        <v>0.02299724413</v>
      </c>
      <c r="E58" s="91">
        <f t="shared" si="5"/>
        <v>53</v>
      </c>
      <c r="F58" s="91">
        <v>530.2</v>
      </c>
      <c r="G58" s="91">
        <f t="shared" si="6"/>
        <v>53</v>
      </c>
      <c r="H58" s="91" t="s">
        <v>117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49</v>
      </c>
      <c r="B59" s="91" t="str">
        <f t="shared" si="1"/>
        <v>Jan 12, 2024</v>
      </c>
      <c r="C59" s="91">
        <f t="shared" si="2"/>
        <v>532.4</v>
      </c>
      <c r="D59" s="97">
        <f t="shared" si="4"/>
        <v>-0.0108685555</v>
      </c>
      <c r="E59" s="91">
        <f t="shared" si="5"/>
        <v>54</v>
      </c>
      <c r="F59" s="91">
        <v>542.35</v>
      </c>
      <c r="G59" s="91">
        <f t="shared" si="6"/>
        <v>54</v>
      </c>
      <c r="H59" s="91" t="s">
        <v>118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48</v>
      </c>
      <c r="B60" s="91" t="str">
        <f t="shared" si="1"/>
        <v>Jan 15, 2024</v>
      </c>
      <c r="C60" s="91">
        <f t="shared" si="2"/>
        <v>531.45</v>
      </c>
      <c r="D60" s="97">
        <f t="shared" si="4"/>
        <v>-0.001784372652</v>
      </c>
      <c r="E60" s="91">
        <f t="shared" si="5"/>
        <v>55</v>
      </c>
      <c r="F60" s="91">
        <v>549.45</v>
      </c>
      <c r="G60" s="91">
        <f t="shared" si="6"/>
        <v>55</v>
      </c>
      <c r="H60" s="91" t="s">
        <v>119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47</v>
      </c>
      <c r="B61" s="91" t="str">
        <f t="shared" si="1"/>
        <v>Jan 16, 2024</v>
      </c>
      <c r="C61" s="91">
        <f t="shared" si="2"/>
        <v>528.7</v>
      </c>
      <c r="D61" s="97">
        <f t="shared" si="4"/>
        <v>-0.005174522533</v>
      </c>
      <c r="E61" s="91">
        <f t="shared" si="5"/>
        <v>56</v>
      </c>
      <c r="F61" s="91">
        <v>536.1</v>
      </c>
      <c r="G61" s="91">
        <f t="shared" si="6"/>
        <v>56</v>
      </c>
      <c r="H61" s="91" t="s">
        <v>120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46</v>
      </c>
      <c r="B62" s="91" t="str">
        <f t="shared" si="1"/>
        <v>Jan 17, 2024</v>
      </c>
      <c r="C62" s="91">
        <f t="shared" si="2"/>
        <v>520.55</v>
      </c>
      <c r="D62" s="97">
        <f t="shared" si="4"/>
        <v>-0.01541516928</v>
      </c>
      <c r="E62" s="91">
        <f t="shared" si="5"/>
        <v>57</v>
      </c>
      <c r="F62" s="91">
        <v>530.9</v>
      </c>
      <c r="G62" s="91">
        <f t="shared" si="6"/>
        <v>57</v>
      </c>
      <c r="H62" s="91" t="s">
        <v>121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45</v>
      </c>
      <c r="B63" s="91" t="str">
        <f t="shared" si="1"/>
        <v>Jan 18, 2024</v>
      </c>
      <c r="C63" s="91">
        <f t="shared" si="2"/>
        <v>524.15</v>
      </c>
      <c r="D63" s="97">
        <f t="shared" si="4"/>
        <v>0.006915762175</v>
      </c>
      <c r="E63" s="91">
        <f t="shared" si="5"/>
        <v>58</v>
      </c>
      <c r="F63" s="91">
        <v>534.3</v>
      </c>
      <c r="G63" s="91">
        <f t="shared" si="6"/>
        <v>58</v>
      </c>
      <c r="H63" s="91" t="s">
        <v>122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44</v>
      </c>
      <c r="B64" s="91" t="str">
        <f t="shared" si="1"/>
        <v>Jan 19, 2024</v>
      </c>
      <c r="C64" s="91">
        <f t="shared" si="2"/>
        <v>537.1</v>
      </c>
      <c r="D64" s="97">
        <f t="shared" si="4"/>
        <v>0.02470666794</v>
      </c>
      <c r="E64" s="91">
        <f t="shared" si="5"/>
        <v>59</v>
      </c>
      <c r="F64" s="91">
        <v>520.9</v>
      </c>
      <c r="G64" s="91">
        <f t="shared" si="6"/>
        <v>59</v>
      </c>
      <c r="H64" s="91" t="s">
        <v>123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43</v>
      </c>
      <c r="B65" s="91" t="str">
        <f t="shared" si="1"/>
        <v>Jan 23, 2024</v>
      </c>
      <c r="C65" s="91">
        <f t="shared" si="2"/>
        <v>525.05</v>
      </c>
      <c r="D65" s="97">
        <f t="shared" si="4"/>
        <v>-0.02243530069</v>
      </c>
      <c r="E65" s="91">
        <f t="shared" si="5"/>
        <v>60</v>
      </c>
      <c r="F65" s="91">
        <v>514.25</v>
      </c>
      <c r="G65" s="91">
        <f t="shared" si="6"/>
        <v>60</v>
      </c>
      <c r="H65" s="91" t="s">
        <v>124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42</v>
      </c>
      <c r="B66" s="91" t="str">
        <f t="shared" si="1"/>
        <v>Jan 24, 2024</v>
      </c>
      <c r="C66" s="91">
        <f t="shared" si="2"/>
        <v>527.45</v>
      </c>
      <c r="D66" s="97">
        <f t="shared" si="4"/>
        <v>0.004570993239</v>
      </c>
      <c r="E66" s="91">
        <f t="shared" si="5"/>
        <v>61</v>
      </c>
      <c r="F66" s="91">
        <v>517.0</v>
      </c>
      <c r="G66" s="91">
        <f t="shared" si="6"/>
        <v>61</v>
      </c>
      <c r="H66" s="91" t="s">
        <v>125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41</v>
      </c>
      <c r="B67" s="91" t="str">
        <f t="shared" si="1"/>
        <v>Jan 25, 2024</v>
      </c>
      <c r="C67" s="91">
        <f t="shared" si="2"/>
        <v>560.15</v>
      </c>
      <c r="D67" s="97">
        <f t="shared" si="4"/>
        <v>0.06199639776</v>
      </c>
      <c r="E67" s="91">
        <f t="shared" si="5"/>
        <v>62</v>
      </c>
      <c r="F67" s="91">
        <v>505.35</v>
      </c>
      <c r="G67" s="91">
        <f t="shared" si="6"/>
        <v>62</v>
      </c>
      <c r="H67" s="91" t="s">
        <v>126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40</v>
      </c>
      <c r="B68" s="91" t="str">
        <f t="shared" si="1"/>
        <v>Jan 29, 2024</v>
      </c>
      <c r="C68" s="91">
        <f t="shared" si="2"/>
        <v>574.1</v>
      </c>
      <c r="D68" s="97">
        <f t="shared" si="4"/>
        <v>0.02490404356</v>
      </c>
      <c r="E68" s="91">
        <f t="shared" si="5"/>
        <v>63</v>
      </c>
      <c r="F68" s="91">
        <v>503.8</v>
      </c>
      <c r="G68" s="91">
        <f t="shared" si="6"/>
        <v>63</v>
      </c>
      <c r="H68" s="91" t="s">
        <v>127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39</v>
      </c>
      <c r="B69" s="91" t="str">
        <f t="shared" si="1"/>
        <v>Jan 30, 2024</v>
      </c>
      <c r="C69" s="91">
        <f t="shared" si="2"/>
        <v>570.85</v>
      </c>
      <c r="D69" s="97">
        <f t="shared" si="4"/>
        <v>-0.005661034663</v>
      </c>
      <c r="E69" s="91">
        <f t="shared" si="5"/>
        <v>64</v>
      </c>
      <c r="F69" s="91">
        <v>503.9</v>
      </c>
      <c r="G69" s="91">
        <f t="shared" si="6"/>
        <v>64</v>
      </c>
      <c r="H69" s="91" t="s">
        <v>128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38</v>
      </c>
      <c r="B70" s="91" t="str">
        <f t="shared" si="1"/>
        <v>Jan 31, 2024</v>
      </c>
      <c r="C70" s="91">
        <f t="shared" si="2"/>
        <v>560.3</v>
      </c>
      <c r="D70" s="97">
        <f t="shared" si="4"/>
        <v>-0.01848121223</v>
      </c>
      <c r="E70" s="91">
        <f t="shared" si="5"/>
        <v>65</v>
      </c>
      <c r="F70" s="91">
        <v>490.45</v>
      </c>
      <c r="G70" s="91">
        <f t="shared" si="6"/>
        <v>65</v>
      </c>
      <c r="H70" s="91" t="s">
        <v>129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37</v>
      </c>
      <c r="B71" s="91" t="str">
        <f t="shared" si="1"/>
        <v>Feb 01, 2024</v>
      </c>
      <c r="C71" s="91">
        <f t="shared" si="2"/>
        <v>565.05</v>
      </c>
      <c r="D71" s="97">
        <f t="shared" si="4"/>
        <v>0.008477601285</v>
      </c>
      <c r="E71" s="91">
        <f t="shared" si="5"/>
        <v>66</v>
      </c>
      <c r="F71" s="91">
        <v>522.35</v>
      </c>
      <c r="G71" s="91">
        <f t="shared" si="6"/>
        <v>66</v>
      </c>
      <c r="H71" s="91" t="s">
        <v>130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36</v>
      </c>
      <c r="B72" s="91" t="str">
        <f t="shared" si="1"/>
        <v>Feb 02, 2024</v>
      </c>
      <c r="C72" s="91">
        <f t="shared" si="2"/>
        <v>557.4</v>
      </c>
      <c r="D72" s="97">
        <f t="shared" si="4"/>
        <v>-0.0135386249</v>
      </c>
      <c r="E72" s="91">
        <f t="shared" si="5"/>
        <v>67</v>
      </c>
      <c r="F72" s="91">
        <v>525.65</v>
      </c>
      <c r="G72" s="91">
        <f t="shared" si="6"/>
        <v>67</v>
      </c>
      <c r="H72" s="91" t="s">
        <v>131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35</v>
      </c>
      <c r="B73" s="91" t="str">
        <f t="shared" si="1"/>
        <v>Feb 05, 2024</v>
      </c>
      <c r="C73" s="91">
        <f t="shared" si="2"/>
        <v>555</v>
      </c>
      <c r="D73" s="97">
        <f t="shared" si="4"/>
        <v>-0.004305705059</v>
      </c>
      <c r="E73" s="91">
        <f t="shared" si="5"/>
        <v>68</v>
      </c>
      <c r="F73" s="91">
        <v>522.4</v>
      </c>
      <c r="G73" s="91">
        <f t="shared" si="6"/>
        <v>68</v>
      </c>
      <c r="H73" s="91" t="s">
        <v>132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34</v>
      </c>
      <c r="B74" s="91" t="str">
        <f t="shared" si="1"/>
        <v>Feb 06, 2024</v>
      </c>
      <c r="C74" s="91">
        <f t="shared" si="2"/>
        <v>566.6</v>
      </c>
      <c r="D74" s="97">
        <f t="shared" si="4"/>
        <v>0.0209009009</v>
      </c>
      <c r="E74" s="91">
        <f t="shared" si="5"/>
        <v>69</v>
      </c>
      <c r="F74" s="91">
        <v>520.25</v>
      </c>
      <c r="G74" s="91">
        <f t="shared" si="6"/>
        <v>69</v>
      </c>
      <c r="H74" s="91" t="s">
        <v>133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33</v>
      </c>
      <c r="B75" s="91" t="str">
        <f t="shared" si="1"/>
        <v>Feb 07, 2024</v>
      </c>
      <c r="C75" s="91">
        <f t="shared" si="2"/>
        <v>568.2</v>
      </c>
      <c r="D75" s="97">
        <f t="shared" si="4"/>
        <v>0.002823861631</v>
      </c>
      <c r="E75" s="91">
        <f t="shared" si="5"/>
        <v>70</v>
      </c>
      <c r="F75" s="91">
        <v>509.05</v>
      </c>
      <c r="G75" s="91">
        <f t="shared" si="6"/>
        <v>70</v>
      </c>
      <c r="H75" s="91" t="s">
        <v>134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32</v>
      </c>
      <c r="B76" s="91" t="str">
        <f t="shared" si="1"/>
        <v>Feb 08, 2024</v>
      </c>
      <c r="C76" s="91">
        <f t="shared" si="2"/>
        <v>563.35</v>
      </c>
      <c r="D76" s="97">
        <f t="shared" si="4"/>
        <v>-0.008535726857</v>
      </c>
      <c r="E76" s="91">
        <f t="shared" si="5"/>
        <v>71</v>
      </c>
      <c r="F76" s="91">
        <v>501.35</v>
      </c>
      <c r="G76" s="91">
        <f t="shared" si="6"/>
        <v>71</v>
      </c>
      <c r="H76" s="91" t="s">
        <v>135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31</v>
      </c>
      <c r="B77" s="91" t="str">
        <f t="shared" si="1"/>
        <v>Feb 09, 2024</v>
      </c>
      <c r="C77" s="91">
        <f t="shared" si="2"/>
        <v>576.2</v>
      </c>
      <c r="D77" s="97">
        <f t="shared" si="4"/>
        <v>0.02280997604</v>
      </c>
      <c r="E77" s="91">
        <f t="shared" si="5"/>
        <v>72</v>
      </c>
      <c r="F77" s="91">
        <v>504.0</v>
      </c>
      <c r="G77" s="91">
        <f t="shared" si="6"/>
        <v>72</v>
      </c>
      <c r="H77" s="91" t="s">
        <v>136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30</v>
      </c>
      <c r="B78" s="91" t="str">
        <f t="shared" si="1"/>
        <v>Feb 12, 2024</v>
      </c>
      <c r="C78" s="91">
        <f t="shared" si="2"/>
        <v>563.5</v>
      </c>
      <c r="D78" s="97">
        <f t="shared" si="4"/>
        <v>-0.022040958</v>
      </c>
      <c r="E78" s="91">
        <f t="shared" si="5"/>
        <v>73</v>
      </c>
      <c r="F78" s="91">
        <v>494.35</v>
      </c>
      <c r="G78" s="91">
        <f t="shared" si="6"/>
        <v>73</v>
      </c>
      <c r="H78" s="91" t="s">
        <v>137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29</v>
      </c>
      <c r="B79" s="91" t="str">
        <f t="shared" si="1"/>
        <v>Feb 13, 2024</v>
      </c>
      <c r="C79" s="91">
        <f t="shared" si="2"/>
        <v>568.25</v>
      </c>
      <c r="D79" s="97">
        <f t="shared" si="4"/>
        <v>0.00842945874</v>
      </c>
      <c r="E79" s="91">
        <f t="shared" si="5"/>
        <v>74</v>
      </c>
      <c r="F79" s="91">
        <v>505.1</v>
      </c>
      <c r="G79" s="91">
        <f t="shared" si="6"/>
        <v>74</v>
      </c>
      <c r="H79" s="91" t="s">
        <v>138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28</v>
      </c>
      <c r="B80" s="91" t="str">
        <f t="shared" si="1"/>
        <v>Feb 14, 2024</v>
      </c>
      <c r="C80" s="91">
        <f t="shared" si="2"/>
        <v>570.9</v>
      </c>
      <c r="D80" s="97">
        <f t="shared" si="4"/>
        <v>0.004663440387</v>
      </c>
      <c r="E80" s="91">
        <f t="shared" si="5"/>
        <v>75</v>
      </c>
      <c r="F80" s="91">
        <v>501.1</v>
      </c>
      <c r="G80" s="91">
        <f t="shared" si="6"/>
        <v>75</v>
      </c>
      <c r="H80" s="91" t="s">
        <v>139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27</v>
      </c>
      <c r="B81" s="91" t="str">
        <f t="shared" si="1"/>
        <v>Feb 15, 2024</v>
      </c>
      <c r="C81" s="91">
        <f t="shared" si="2"/>
        <v>572.25</v>
      </c>
      <c r="D81" s="97">
        <f t="shared" si="4"/>
        <v>0.002364687336</v>
      </c>
      <c r="E81" s="91">
        <f t="shared" si="5"/>
        <v>76</v>
      </c>
      <c r="F81" s="91">
        <v>509.05</v>
      </c>
      <c r="G81" s="91">
        <f t="shared" si="6"/>
        <v>76</v>
      </c>
      <c r="H81" s="91" t="s">
        <v>140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26</v>
      </c>
      <c r="B82" s="91" t="str">
        <f t="shared" si="1"/>
        <v>Feb 16, 2024</v>
      </c>
      <c r="C82" s="91">
        <f t="shared" si="2"/>
        <v>585.1</v>
      </c>
      <c r="D82" s="97">
        <f t="shared" si="4"/>
        <v>0.02245522062</v>
      </c>
      <c r="E82" s="91">
        <f t="shared" si="5"/>
        <v>77</v>
      </c>
      <c r="F82" s="91">
        <v>474.55</v>
      </c>
      <c r="G82" s="91">
        <f t="shared" si="6"/>
        <v>77</v>
      </c>
      <c r="H82" s="91" t="s">
        <v>141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25</v>
      </c>
      <c r="B83" s="91" t="str">
        <f t="shared" si="1"/>
        <v>Feb 19, 2024</v>
      </c>
      <c r="C83" s="91">
        <f t="shared" si="2"/>
        <v>584.85</v>
      </c>
      <c r="D83" s="97">
        <f t="shared" si="4"/>
        <v>-0.0004272773885</v>
      </c>
      <c r="E83" s="91">
        <f t="shared" si="5"/>
        <v>78</v>
      </c>
      <c r="F83" s="91">
        <v>442.0</v>
      </c>
      <c r="G83" s="91">
        <f t="shared" si="6"/>
        <v>78</v>
      </c>
      <c r="H83" s="91" t="s">
        <v>142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24</v>
      </c>
      <c r="B84" s="91" t="str">
        <f t="shared" si="1"/>
        <v>Feb 20, 2024</v>
      </c>
      <c r="C84" s="91">
        <f t="shared" si="2"/>
        <v>588.8</v>
      </c>
      <c r="D84" s="97">
        <f t="shared" si="4"/>
        <v>0.006753868513</v>
      </c>
      <c r="E84" s="91">
        <f t="shared" si="5"/>
        <v>79</v>
      </c>
      <c r="F84" s="91">
        <v>439.25</v>
      </c>
      <c r="G84" s="91">
        <f t="shared" si="6"/>
        <v>79</v>
      </c>
      <c r="H84" s="91" t="s">
        <v>143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23</v>
      </c>
      <c r="B85" s="91" t="str">
        <f t="shared" si="1"/>
        <v>Feb 21, 2024</v>
      </c>
      <c r="C85" s="91">
        <f t="shared" si="2"/>
        <v>587.8</v>
      </c>
      <c r="D85" s="97">
        <f t="shared" si="4"/>
        <v>-0.001698369565</v>
      </c>
      <c r="E85" s="91">
        <f t="shared" si="5"/>
        <v>80</v>
      </c>
      <c r="F85" s="91">
        <v>435.65</v>
      </c>
      <c r="G85" s="91">
        <f t="shared" si="6"/>
        <v>80</v>
      </c>
      <c r="H85" s="91" t="s">
        <v>144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22</v>
      </c>
      <c r="B86" s="91" t="str">
        <f t="shared" si="1"/>
        <v>Feb 22, 2024</v>
      </c>
      <c r="C86" s="91">
        <f t="shared" si="2"/>
        <v>592.75</v>
      </c>
      <c r="D86" s="97">
        <f t="shared" si="4"/>
        <v>0.008421231711</v>
      </c>
      <c r="E86" s="91">
        <f t="shared" si="5"/>
        <v>81</v>
      </c>
      <c r="F86" s="91">
        <v>431.2</v>
      </c>
      <c r="G86" s="91">
        <f t="shared" si="6"/>
        <v>81</v>
      </c>
      <c r="H86" s="91" t="s">
        <v>145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21</v>
      </c>
      <c r="B87" s="91" t="str">
        <f t="shared" si="1"/>
        <v>Feb 23, 2024</v>
      </c>
      <c r="C87" s="91">
        <f t="shared" si="2"/>
        <v>602.95</v>
      </c>
      <c r="D87" s="97">
        <f t="shared" si="4"/>
        <v>0.01720792914</v>
      </c>
      <c r="E87" s="91">
        <f t="shared" si="5"/>
        <v>82</v>
      </c>
      <c r="F87" s="91">
        <v>414.3</v>
      </c>
      <c r="G87" s="91">
        <f t="shared" si="6"/>
        <v>82</v>
      </c>
      <c r="H87" s="91" t="s">
        <v>146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20</v>
      </c>
      <c r="B88" s="91" t="str">
        <f t="shared" si="1"/>
        <v>Feb 26, 2024</v>
      </c>
      <c r="C88" s="91">
        <f t="shared" si="2"/>
        <v>608.6</v>
      </c>
      <c r="D88" s="97">
        <f t="shared" si="4"/>
        <v>0.009370594577</v>
      </c>
      <c r="E88" s="91">
        <f t="shared" si="5"/>
        <v>83</v>
      </c>
      <c r="F88" s="91">
        <v>415.6</v>
      </c>
      <c r="G88" s="91">
        <f t="shared" si="6"/>
        <v>83</v>
      </c>
      <c r="H88" s="91" t="s">
        <v>147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19</v>
      </c>
      <c r="B89" s="91" t="str">
        <f t="shared" si="1"/>
        <v>Feb 27, 2024</v>
      </c>
      <c r="C89" s="91">
        <f t="shared" si="2"/>
        <v>603.35</v>
      </c>
      <c r="D89" s="97">
        <f t="shared" si="4"/>
        <v>-0.00862635557</v>
      </c>
      <c r="E89" s="91">
        <f t="shared" si="5"/>
        <v>84</v>
      </c>
      <c r="F89" s="91">
        <v>414.25</v>
      </c>
      <c r="G89" s="91">
        <f t="shared" si="6"/>
        <v>84</v>
      </c>
      <c r="H89" s="91" t="s">
        <v>148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18</v>
      </c>
      <c r="B90" s="91" t="str">
        <f t="shared" si="1"/>
        <v>Feb 28, 2024</v>
      </c>
      <c r="C90" s="91">
        <f t="shared" si="2"/>
        <v>589.25</v>
      </c>
      <c r="D90" s="97">
        <f t="shared" si="4"/>
        <v>-0.02336952018</v>
      </c>
      <c r="E90" s="91">
        <f t="shared" si="5"/>
        <v>85</v>
      </c>
      <c r="F90" s="91">
        <v>420.15</v>
      </c>
      <c r="G90" s="91">
        <f t="shared" si="6"/>
        <v>85</v>
      </c>
      <c r="H90" s="91" t="s">
        <v>149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17</v>
      </c>
      <c r="B91" s="91" t="str">
        <f t="shared" si="1"/>
        <v>Feb 29, 2024</v>
      </c>
      <c r="C91" s="91">
        <f t="shared" si="2"/>
        <v>605.9</v>
      </c>
      <c r="D91" s="97">
        <f t="shared" si="4"/>
        <v>0.02825625796</v>
      </c>
      <c r="E91" s="91">
        <f t="shared" si="5"/>
        <v>86</v>
      </c>
      <c r="F91" s="91">
        <v>421.5</v>
      </c>
      <c r="G91" s="91">
        <f t="shared" si="6"/>
        <v>86</v>
      </c>
      <c r="H91" s="91" t="s">
        <v>150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16</v>
      </c>
      <c r="B92" s="91" t="str">
        <f t="shared" si="1"/>
        <v>Mar 01, 2024</v>
      </c>
      <c r="C92" s="91">
        <f t="shared" si="2"/>
        <v>617.6</v>
      </c>
      <c r="D92" s="97">
        <f t="shared" si="4"/>
        <v>0.01931011718</v>
      </c>
      <c r="E92" s="91">
        <f t="shared" si="5"/>
        <v>87</v>
      </c>
      <c r="F92" s="91">
        <v>421.1</v>
      </c>
      <c r="G92" s="91">
        <f t="shared" si="6"/>
        <v>87</v>
      </c>
      <c r="H92" s="91" t="s">
        <v>151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15</v>
      </c>
      <c r="B93" s="91" t="str">
        <f t="shared" si="1"/>
        <v>Mar 04, 2024</v>
      </c>
      <c r="C93" s="91">
        <f t="shared" si="2"/>
        <v>617.15</v>
      </c>
      <c r="D93" s="97">
        <f t="shared" si="4"/>
        <v>-0.000728626943</v>
      </c>
      <c r="E93" s="91">
        <f t="shared" si="5"/>
        <v>88</v>
      </c>
      <c r="F93" s="91">
        <v>419.9</v>
      </c>
      <c r="G93" s="91">
        <f t="shared" si="6"/>
        <v>88</v>
      </c>
      <c r="H93" s="91" t="s">
        <v>152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14</v>
      </c>
      <c r="B94" s="91" t="str">
        <f t="shared" si="1"/>
        <v>Mar 05, 2024</v>
      </c>
      <c r="C94" s="91">
        <f t="shared" si="2"/>
        <v>613.1</v>
      </c>
      <c r="D94" s="97">
        <f t="shared" si="4"/>
        <v>-0.006562424046</v>
      </c>
      <c r="E94" s="91">
        <f t="shared" si="5"/>
        <v>89</v>
      </c>
      <c r="F94" s="91">
        <v>418.15</v>
      </c>
      <c r="G94" s="91">
        <f t="shared" si="6"/>
        <v>89</v>
      </c>
      <c r="H94" s="91" t="s">
        <v>153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13</v>
      </c>
      <c r="B95" s="91" t="str">
        <f t="shared" si="1"/>
        <v>Mar 06, 2024</v>
      </c>
      <c r="C95" s="91">
        <f t="shared" si="2"/>
        <v>598.3</v>
      </c>
      <c r="D95" s="97">
        <f t="shared" si="4"/>
        <v>-0.02413961833</v>
      </c>
      <c r="E95" s="91">
        <f t="shared" si="5"/>
        <v>90</v>
      </c>
      <c r="F95" s="91">
        <v>419.4</v>
      </c>
      <c r="G95" s="91">
        <f t="shared" si="6"/>
        <v>90</v>
      </c>
      <c r="H95" s="91" t="s">
        <v>154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12</v>
      </c>
      <c r="B96" s="91" t="str">
        <f t="shared" si="1"/>
        <v>Mar 07, 2024</v>
      </c>
      <c r="C96" s="91">
        <f t="shared" si="2"/>
        <v>603.15</v>
      </c>
      <c r="D96" s="97">
        <f t="shared" si="4"/>
        <v>0.008106301187</v>
      </c>
      <c r="E96" s="91">
        <f t="shared" si="5"/>
        <v>91</v>
      </c>
      <c r="F96" s="91">
        <v>418.1</v>
      </c>
      <c r="G96" s="91">
        <f t="shared" si="6"/>
        <v>91</v>
      </c>
      <c r="H96" s="91" t="s">
        <v>155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11</v>
      </c>
      <c r="B97" s="91" t="str">
        <f t="shared" si="1"/>
        <v>Mar 11, 2024</v>
      </c>
      <c r="C97" s="91">
        <f t="shared" si="2"/>
        <v>602.05</v>
      </c>
      <c r="D97" s="97">
        <f t="shared" si="4"/>
        <v>-0.001823758601</v>
      </c>
      <c r="E97" s="91">
        <f t="shared" si="5"/>
        <v>92</v>
      </c>
      <c r="F97" s="91">
        <v>418.3</v>
      </c>
      <c r="G97" s="91">
        <f t="shared" si="6"/>
        <v>92</v>
      </c>
      <c r="H97" s="91" t="s">
        <v>156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10</v>
      </c>
      <c r="B98" s="91" t="str">
        <f t="shared" si="1"/>
        <v>Mar 12, 2024</v>
      </c>
      <c r="C98" s="91">
        <f t="shared" si="2"/>
        <v>587.55</v>
      </c>
      <c r="D98" s="97">
        <f t="shared" si="4"/>
        <v>-0.02408437837</v>
      </c>
      <c r="E98" s="91">
        <f t="shared" si="5"/>
        <v>93</v>
      </c>
      <c r="F98" s="91">
        <v>421.0</v>
      </c>
      <c r="G98" s="91">
        <f t="shared" si="6"/>
        <v>93</v>
      </c>
      <c r="H98" s="91" t="s">
        <v>157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9</v>
      </c>
      <c r="B99" s="91" t="str">
        <f t="shared" si="1"/>
        <v>Mar 13, 2024</v>
      </c>
      <c r="C99" s="91">
        <f t="shared" si="2"/>
        <v>559.25</v>
      </c>
      <c r="D99" s="97">
        <f t="shared" si="4"/>
        <v>-0.04816611352</v>
      </c>
      <c r="E99" s="91">
        <f t="shared" si="5"/>
        <v>94</v>
      </c>
      <c r="F99" s="91">
        <v>419.55</v>
      </c>
      <c r="G99" s="91">
        <f t="shared" si="6"/>
        <v>94</v>
      </c>
      <c r="H99" s="91" t="s">
        <v>158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8</v>
      </c>
      <c r="B100" s="91" t="str">
        <f t="shared" si="1"/>
        <v>Mar 14, 2024</v>
      </c>
      <c r="C100" s="91">
        <f t="shared" si="2"/>
        <v>582.45</v>
      </c>
      <c r="D100" s="97">
        <f t="shared" si="4"/>
        <v>0.04148413053</v>
      </c>
      <c r="E100" s="91">
        <f t="shared" si="5"/>
        <v>95</v>
      </c>
      <c r="F100" s="91">
        <v>421.25</v>
      </c>
      <c r="G100" s="91">
        <f t="shared" si="6"/>
        <v>95</v>
      </c>
      <c r="H100" s="91" t="s">
        <v>159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7</v>
      </c>
      <c r="B101" s="91" t="str">
        <f t="shared" si="1"/>
        <v>Mar 15, 2024</v>
      </c>
      <c r="C101" s="91">
        <f t="shared" si="2"/>
        <v>600.75</v>
      </c>
      <c r="D101" s="97">
        <f t="shared" si="4"/>
        <v>0.03141900592</v>
      </c>
      <c r="E101" s="91">
        <f t="shared" si="5"/>
        <v>96</v>
      </c>
      <c r="F101" s="91">
        <v>420.9</v>
      </c>
      <c r="G101" s="91">
        <f t="shared" si="6"/>
        <v>96</v>
      </c>
      <c r="H101" s="91" t="s">
        <v>160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6</v>
      </c>
      <c r="B102" s="91" t="str">
        <f t="shared" si="1"/>
        <v>Mar 18, 2024</v>
      </c>
      <c r="C102" s="91">
        <f t="shared" si="2"/>
        <v>584.65</v>
      </c>
      <c r="D102" s="97">
        <f t="shared" si="4"/>
        <v>-0.02679983354</v>
      </c>
      <c r="E102" s="91">
        <f t="shared" si="5"/>
        <v>97</v>
      </c>
      <c r="F102" s="91">
        <v>419.7</v>
      </c>
      <c r="G102" s="91">
        <f t="shared" si="6"/>
        <v>97</v>
      </c>
      <c r="H102" s="91" t="s">
        <v>161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5</v>
      </c>
      <c r="B103" s="91" t="str">
        <f t="shared" si="1"/>
        <v>Mar 19, 2024</v>
      </c>
      <c r="C103" s="91">
        <f t="shared" si="2"/>
        <v>580.3</v>
      </c>
      <c r="D103" s="97">
        <f t="shared" si="4"/>
        <v>-0.007440348927</v>
      </c>
      <c r="E103" s="91">
        <f t="shared" si="5"/>
        <v>98</v>
      </c>
      <c r="F103" s="91">
        <v>406.65</v>
      </c>
      <c r="G103" s="91">
        <f t="shared" si="6"/>
        <v>98</v>
      </c>
      <c r="H103" s="91" t="s">
        <v>162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4</v>
      </c>
      <c r="B104" s="91" t="str">
        <f t="shared" si="1"/>
        <v>Mar 20, 2024</v>
      </c>
      <c r="C104" s="91">
        <f t="shared" si="2"/>
        <v>576.35</v>
      </c>
      <c r="D104" s="97">
        <f t="shared" si="4"/>
        <v>-0.006806824057</v>
      </c>
      <c r="E104" s="91">
        <f t="shared" si="5"/>
        <v>99</v>
      </c>
      <c r="F104" s="91">
        <v>424.45</v>
      </c>
      <c r="G104" s="91">
        <f t="shared" si="6"/>
        <v>99</v>
      </c>
      <c r="H104" s="91" t="s">
        <v>163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3</v>
      </c>
      <c r="B105" s="91" t="str">
        <f t="shared" si="1"/>
        <v>Mar 21, 2024</v>
      </c>
      <c r="C105" s="91">
        <f t="shared" si="2"/>
        <v>587.2</v>
      </c>
      <c r="D105" s="97">
        <f t="shared" si="4"/>
        <v>0.01882536653</v>
      </c>
      <c r="E105" s="91">
        <f t="shared" si="5"/>
        <v>100</v>
      </c>
      <c r="F105" s="91">
        <v>421.95</v>
      </c>
      <c r="G105" s="91">
        <f t="shared" si="6"/>
        <v>100</v>
      </c>
      <c r="H105" s="91" t="s">
        <v>164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3"/>
        <v>2</v>
      </c>
      <c r="B106" s="91" t="str">
        <f t="shared" si="1"/>
        <v>Mar 22, 2024</v>
      </c>
      <c r="C106" s="91">
        <f t="shared" si="2"/>
        <v>589.35</v>
      </c>
      <c r="D106" s="97">
        <f t="shared" si="4"/>
        <v>0.003661444142</v>
      </c>
      <c r="E106" s="91">
        <f t="shared" si="5"/>
        <v>101</v>
      </c>
      <c r="F106" s="91">
        <v>417.25</v>
      </c>
      <c r="G106" s="91">
        <f t="shared" si="6"/>
        <v>101</v>
      </c>
      <c r="H106" s="91" t="s">
        <v>165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 t="shared" si="3"/>
        <v>1</v>
      </c>
      <c r="B107" s="91" t="str">
        <f t="shared" si="1"/>
        <v>Mar 26, 2024</v>
      </c>
      <c r="C107" s="91">
        <f t="shared" si="2"/>
        <v>595.05</v>
      </c>
      <c r="D107" s="97">
        <f t="shared" si="4"/>
        <v>0.009671672181</v>
      </c>
      <c r="E107" s="91">
        <f t="shared" si="5"/>
        <v>102</v>
      </c>
      <c r="F107" s="91">
        <v>416.3</v>
      </c>
      <c r="G107" s="91">
        <f t="shared" si="6"/>
        <v>102</v>
      </c>
      <c r="H107" s="91" t="s">
        <v>166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27.67"/>
    <col customWidth="1" min="3" max="4" width="10.56"/>
    <col customWidth="1" hidden="1" min="5" max="6" width="10.56"/>
    <col customWidth="1" hidden="1" min="7" max="7" width="18.33"/>
    <col customWidth="1" hidden="1" min="8" max="8" width="10.56"/>
    <col customWidth="1" hidden="1" min="9" max="9" width="27.67"/>
    <col customWidth="1" hidden="1" min="10" max="11" width="10.56"/>
    <col customWidth="1" min="12" max="13" width="10.78"/>
    <col customWidth="1" min="14" max="26" width="10.56"/>
  </cols>
  <sheetData>
    <row r="1" ht="15.75" customHeight="1">
      <c r="A1" s="1"/>
      <c r="B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99" t="s">
        <v>61</v>
      </c>
      <c r="C6" s="1" t="s">
        <v>62</v>
      </c>
      <c r="D6" s="1" t="s">
        <v>51</v>
      </c>
      <c r="E6" s="1"/>
      <c r="F6" s="100"/>
      <c r="G6" s="100" t="s">
        <v>171</v>
      </c>
      <c r="H6" s="100"/>
      <c r="I6" s="100" t="s">
        <v>59</v>
      </c>
      <c r="J6" s="100"/>
      <c r="K6" s="100" t="s">
        <v>172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v>108.0</v>
      </c>
      <c r="B7" s="101" t="str">
        <f t="shared" ref="B7:B114" si="1">VLOOKUP(A7,$H$7:$I$114,2)</f>
        <v>Oct 26, 2023</v>
      </c>
      <c r="C7" s="102">
        <f t="shared" ref="C7:C114" si="2">VLOOKUP(A7,$F$7:$G$114,2)</f>
        <v>1987.9</v>
      </c>
      <c r="D7" s="103" t="s">
        <v>64</v>
      </c>
      <c r="E7" s="3">
        <f t="shared" ref="E7:E114" si="3">VLOOKUP(A7,$J$7:$K$114,2)</f>
        <v>0.0012</v>
      </c>
      <c r="F7" s="104">
        <v>1.0</v>
      </c>
      <c r="G7" s="105">
        <v>2178.0</v>
      </c>
      <c r="H7" s="104">
        <v>1.0</v>
      </c>
      <c r="I7" s="104" t="s">
        <v>63</v>
      </c>
      <c r="J7" s="104">
        <v>1.0</v>
      </c>
      <c r="K7" s="106">
        <v>7.0E-4</v>
      </c>
      <c r="L7" s="2" t="s">
        <v>51</v>
      </c>
      <c r="M7" s="3">
        <f>AVERAGE(D8:D114)</f>
        <v>0.0008830051962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ref="A8:A114" si="4">A7-1</f>
        <v>107</v>
      </c>
      <c r="B8" s="101" t="str">
        <f t="shared" si="1"/>
        <v>Oct 27, 2023</v>
      </c>
      <c r="C8" s="102">
        <f t="shared" si="2"/>
        <v>1989</v>
      </c>
      <c r="D8" s="3">
        <f t="shared" ref="D8:D114" si="5">C8/C7-1</f>
        <v>0.0005533477539</v>
      </c>
      <c r="E8" s="3">
        <f t="shared" si="3"/>
        <v>0.0006</v>
      </c>
      <c r="F8" s="104">
        <f t="shared" ref="F8:F114" si="6">1+F7</f>
        <v>2</v>
      </c>
      <c r="G8" s="105">
        <v>2176.4</v>
      </c>
      <c r="H8" s="104">
        <f t="shared" ref="H8:H114" si="7">1+H7</f>
        <v>2</v>
      </c>
      <c r="I8" s="104" t="s">
        <v>173</v>
      </c>
      <c r="J8" s="104">
        <f t="shared" ref="J8:J114" si="8">1+J7</f>
        <v>2</v>
      </c>
      <c r="K8" s="106">
        <v>0.0076</v>
      </c>
      <c r="L8" s="1" t="s">
        <v>67</v>
      </c>
      <c r="M8" s="3">
        <f>STDEV(D8:D114)</f>
        <v>0.007667760035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4"/>
        <v>106</v>
      </c>
      <c r="B9" s="101" t="str">
        <f t="shared" si="1"/>
        <v>Oct 30, 2023</v>
      </c>
      <c r="C9" s="102">
        <f t="shared" si="2"/>
        <v>2005.6</v>
      </c>
      <c r="D9" s="3">
        <f t="shared" si="5"/>
        <v>0.008345902464</v>
      </c>
      <c r="E9" s="3">
        <f t="shared" si="3"/>
        <v>0.0083</v>
      </c>
      <c r="F9" s="104">
        <f t="shared" si="6"/>
        <v>3</v>
      </c>
      <c r="G9" s="107">
        <v>2160.0</v>
      </c>
      <c r="H9" s="104">
        <f t="shared" si="7"/>
        <v>3</v>
      </c>
      <c r="I9" s="104" t="s">
        <v>65</v>
      </c>
      <c r="J9" s="104">
        <f t="shared" si="8"/>
        <v>3</v>
      </c>
      <c r="K9" s="108">
        <v>-0.0113</v>
      </c>
      <c r="L9" s="1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4"/>
        <v>105</v>
      </c>
      <c r="B10" s="101" t="str">
        <f t="shared" si="1"/>
        <v>Oct 31, 2023</v>
      </c>
      <c r="C10" s="102">
        <f t="shared" si="2"/>
        <v>1994.3</v>
      </c>
      <c r="D10" s="3">
        <f t="shared" si="5"/>
        <v>-0.005634224172</v>
      </c>
      <c r="E10" s="3">
        <f t="shared" si="3"/>
        <v>-0.0056</v>
      </c>
      <c r="F10" s="104">
        <f t="shared" si="6"/>
        <v>4</v>
      </c>
      <c r="G10" s="105">
        <v>2184.7</v>
      </c>
      <c r="H10" s="104">
        <f t="shared" si="7"/>
        <v>4</v>
      </c>
      <c r="I10" s="104" t="s">
        <v>66</v>
      </c>
      <c r="J10" s="104">
        <f t="shared" si="8"/>
        <v>4</v>
      </c>
      <c r="K10" s="106">
        <v>0.011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4"/>
        <v>104</v>
      </c>
      <c r="B11" s="101" t="str">
        <f t="shared" si="1"/>
        <v>Nov 01, 2023</v>
      </c>
      <c r="C11" s="102">
        <f t="shared" si="2"/>
        <v>1987.5</v>
      </c>
      <c r="D11" s="3">
        <f t="shared" si="5"/>
        <v>-0.003409717695</v>
      </c>
      <c r="E11" s="3">
        <f t="shared" si="3"/>
        <v>-0.0034</v>
      </c>
      <c r="F11" s="104">
        <f t="shared" si="6"/>
        <v>5</v>
      </c>
      <c r="G11" s="105">
        <v>2161.0</v>
      </c>
      <c r="H11" s="104">
        <f t="shared" si="7"/>
        <v>5</v>
      </c>
      <c r="I11" s="104" t="s">
        <v>68</v>
      </c>
      <c r="J11" s="104">
        <f t="shared" si="8"/>
        <v>5</v>
      </c>
      <c r="K11" s="106">
        <v>6.0E-4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4"/>
        <v>103</v>
      </c>
      <c r="B12" s="101" t="str">
        <f t="shared" si="1"/>
        <v>Nov 02, 2023</v>
      </c>
      <c r="C12" s="102">
        <f t="shared" si="2"/>
        <v>1993.5</v>
      </c>
      <c r="D12" s="3">
        <f t="shared" si="5"/>
        <v>0.003018867925</v>
      </c>
      <c r="E12" s="3">
        <f t="shared" si="3"/>
        <v>0.003</v>
      </c>
      <c r="F12" s="104">
        <f t="shared" si="6"/>
        <v>6</v>
      </c>
      <c r="G12" s="107">
        <v>2159.7</v>
      </c>
      <c r="H12" s="104">
        <f t="shared" si="7"/>
        <v>6</v>
      </c>
      <c r="I12" s="104" t="s">
        <v>69</v>
      </c>
      <c r="J12" s="104">
        <f t="shared" si="8"/>
        <v>6</v>
      </c>
      <c r="K12" s="108">
        <v>-0.0021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4"/>
        <v>102</v>
      </c>
      <c r="B13" s="101" t="str">
        <f t="shared" si="1"/>
        <v>Nov 03, 2023</v>
      </c>
      <c r="C13" s="102">
        <f t="shared" si="2"/>
        <v>1999.2</v>
      </c>
      <c r="D13" s="3">
        <f t="shared" si="5"/>
        <v>0.002859292701</v>
      </c>
      <c r="E13" s="3">
        <f t="shared" si="3"/>
        <v>0.0029</v>
      </c>
      <c r="F13" s="104">
        <f t="shared" si="6"/>
        <v>7</v>
      </c>
      <c r="G13" s="105">
        <v>2164.3</v>
      </c>
      <c r="H13" s="104">
        <f t="shared" si="7"/>
        <v>7</v>
      </c>
      <c r="I13" s="104" t="s">
        <v>70</v>
      </c>
      <c r="J13" s="104">
        <f t="shared" si="8"/>
        <v>7</v>
      </c>
      <c r="K13" s="106">
        <v>0.0013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4"/>
        <v>101</v>
      </c>
      <c r="B14" s="101" t="str">
        <f t="shared" si="1"/>
        <v>Nov 06, 2023</v>
      </c>
      <c r="C14" s="102">
        <f t="shared" si="2"/>
        <v>1988.6</v>
      </c>
      <c r="D14" s="3">
        <f t="shared" si="5"/>
        <v>-0.005302120848</v>
      </c>
      <c r="E14" s="3">
        <f t="shared" si="3"/>
        <v>-0.0053</v>
      </c>
      <c r="F14" s="104">
        <f t="shared" si="6"/>
        <v>8</v>
      </c>
      <c r="G14" s="107">
        <v>2161.5</v>
      </c>
      <c r="H14" s="104">
        <f t="shared" si="7"/>
        <v>8</v>
      </c>
      <c r="I14" s="104" t="s">
        <v>71</v>
      </c>
      <c r="J14" s="104">
        <f t="shared" si="8"/>
        <v>8</v>
      </c>
      <c r="K14" s="108">
        <v>-0.0028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4"/>
        <v>100</v>
      </c>
      <c r="B15" s="101" t="str">
        <f t="shared" si="1"/>
        <v>Nov 07, 2023</v>
      </c>
      <c r="C15" s="102">
        <f t="shared" si="2"/>
        <v>1973.5</v>
      </c>
      <c r="D15" s="3">
        <f t="shared" si="5"/>
        <v>-0.007593281706</v>
      </c>
      <c r="E15" s="3">
        <f t="shared" si="3"/>
        <v>-0.0076</v>
      </c>
      <c r="F15" s="104">
        <f t="shared" si="6"/>
        <v>9</v>
      </c>
      <c r="G15" s="107">
        <v>2167.5</v>
      </c>
      <c r="H15" s="104">
        <f t="shared" si="7"/>
        <v>9</v>
      </c>
      <c r="I15" s="104" t="s">
        <v>72</v>
      </c>
      <c r="J15" s="104">
        <f t="shared" si="8"/>
        <v>9</v>
      </c>
      <c r="K15" s="108">
        <v>-0.0061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4"/>
        <v>99</v>
      </c>
      <c r="B16" s="101" t="str">
        <f t="shared" si="1"/>
        <v>Nov 08, 2023</v>
      </c>
      <c r="C16" s="102">
        <f t="shared" si="2"/>
        <v>1957.8</v>
      </c>
      <c r="D16" s="3">
        <f t="shared" si="5"/>
        <v>-0.007955409172</v>
      </c>
      <c r="E16" s="3">
        <f t="shared" si="3"/>
        <v>-0.008</v>
      </c>
      <c r="F16" s="104">
        <f t="shared" si="6"/>
        <v>10</v>
      </c>
      <c r="G16" s="105">
        <v>2180.8</v>
      </c>
      <c r="H16" s="104">
        <f t="shared" si="7"/>
        <v>10</v>
      </c>
      <c r="I16" s="104" t="s">
        <v>73</v>
      </c>
      <c r="J16" s="104">
        <f t="shared" si="8"/>
        <v>10</v>
      </c>
      <c r="K16" s="106">
        <v>0.0068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4"/>
        <v>98</v>
      </c>
      <c r="B17" s="101" t="str">
        <f t="shared" si="1"/>
        <v>Nov 09, 2023</v>
      </c>
      <c r="C17" s="102">
        <f t="shared" si="2"/>
        <v>1969.8</v>
      </c>
      <c r="D17" s="3">
        <f t="shared" si="5"/>
        <v>0.006129328838</v>
      </c>
      <c r="E17" s="3">
        <f t="shared" si="3"/>
        <v>0.0061</v>
      </c>
      <c r="F17" s="104">
        <f t="shared" si="6"/>
        <v>11</v>
      </c>
      <c r="G17" s="107">
        <v>2166.1</v>
      </c>
      <c r="H17" s="104">
        <f t="shared" si="7"/>
        <v>11</v>
      </c>
      <c r="I17" s="104" t="s">
        <v>74</v>
      </c>
      <c r="J17" s="104">
        <f t="shared" si="8"/>
        <v>11</v>
      </c>
      <c r="K17" s="108">
        <v>-0.0103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4"/>
        <v>97</v>
      </c>
      <c r="B18" s="101" t="str">
        <f t="shared" si="1"/>
        <v>Nov 10, 2023</v>
      </c>
      <c r="C18" s="102">
        <f t="shared" si="2"/>
        <v>1937.7</v>
      </c>
      <c r="D18" s="3">
        <f t="shared" si="5"/>
        <v>-0.01629607067</v>
      </c>
      <c r="E18" s="3">
        <f t="shared" si="3"/>
        <v>-0.0163</v>
      </c>
      <c r="F18" s="104">
        <f t="shared" si="6"/>
        <v>12</v>
      </c>
      <c r="G18" s="105">
        <v>2188.6</v>
      </c>
      <c r="H18" s="104">
        <f t="shared" si="7"/>
        <v>12</v>
      </c>
      <c r="I18" s="104" t="s">
        <v>75</v>
      </c>
      <c r="J18" s="104">
        <f t="shared" si="8"/>
        <v>12</v>
      </c>
      <c r="K18" s="106">
        <v>0.0014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4"/>
        <v>96</v>
      </c>
      <c r="B19" s="101" t="str">
        <f t="shared" si="1"/>
        <v>Nov 13, 2023</v>
      </c>
      <c r="C19" s="102">
        <f t="shared" si="2"/>
        <v>1950.2</v>
      </c>
      <c r="D19" s="3">
        <f t="shared" si="5"/>
        <v>0.006450946999</v>
      </c>
      <c r="E19" s="3">
        <f t="shared" si="3"/>
        <v>0.0065</v>
      </c>
      <c r="F19" s="104">
        <f t="shared" si="6"/>
        <v>13</v>
      </c>
      <c r="G19" s="105">
        <v>2185.5</v>
      </c>
      <c r="H19" s="104">
        <f t="shared" si="7"/>
        <v>13</v>
      </c>
      <c r="I19" s="104" t="s">
        <v>174</v>
      </c>
      <c r="J19" s="104">
        <f t="shared" si="8"/>
        <v>13</v>
      </c>
      <c r="K19" s="106">
        <v>0.0094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4"/>
        <v>95</v>
      </c>
      <c r="B20" s="101" t="str">
        <f t="shared" si="1"/>
        <v>Nov 14, 2023</v>
      </c>
      <c r="C20" s="102">
        <f t="shared" si="2"/>
        <v>1966.5</v>
      </c>
      <c r="D20" s="3">
        <f t="shared" si="5"/>
        <v>0.008358117116</v>
      </c>
      <c r="E20" s="3">
        <f t="shared" si="3"/>
        <v>0.0084</v>
      </c>
      <c r="F20" s="104">
        <f t="shared" si="6"/>
        <v>14</v>
      </c>
      <c r="G20" s="105">
        <v>2165.2</v>
      </c>
      <c r="H20" s="104">
        <f t="shared" si="7"/>
        <v>14</v>
      </c>
      <c r="I20" s="104" t="s">
        <v>76</v>
      </c>
      <c r="J20" s="104">
        <f t="shared" si="8"/>
        <v>14</v>
      </c>
      <c r="K20" s="106">
        <v>0.0032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4"/>
        <v>94</v>
      </c>
      <c r="B21" s="101" t="str">
        <f t="shared" si="1"/>
        <v>Nov 15, 2023</v>
      </c>
      <c r="C21" s="102">
        <f t="shared" si="2"/>
        <v>1964.3</v>
      </c>
      <c r="D21" s="3">
        <f t="shared" si="5"/>
        <v>-0.001118738876</v>
      </c>
      <c r="E21" s="3">
        <f t="shared" si="3"/>
        <v>-0.0011</v>
      </c>
      <c r="F21" s="104">
        <f t="shared" si="6"/>
        <v>15</v>
      </c>
      <c r="G21" s="105">
        <v>2158.2</v>
      </c>
      <c r="H21" s="104">
        <f t="shared" si="7"/>
        <v>15</v>
      </c>
      <c r="I21" s="104" t="s">
        <v>77</v>
      </c>
      <c r="J21" s="104">
        <f t="shared" si="8"/>
        <v>15</v>
      </c>
      <c r="K21" s="106">
        <v>0.0076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4"/>
        <v>93</v>
      </c>
      <c r="B22" s="101" t="str">
        <f t="shared" si="1"/>
        <v>Nov 16, 2023</v>
      </c>
      <c r="C22" s="102">
        <f t="shared" si="2"/>
        <v>1987.3</v>
      </c>
      <c r="D22" s="3">
        <f t="shared" si="5"/>
        <v>0.01170900575</v>
      </c>
      <c r="E22" s="3">
        <f t="shared" si="3"/>
        <v>0.0117</v>
      </c>
      <c r="F22" s="104">
        <f t="shared" si="6"/>
        <v>16</v>
      </c>
      <c r="G22" s="105">
        <v>2141.9</v>
      </c>
      <c r="H22" s="104">
        <f t="shared" si="7"/>
        <v>16</v>
      </c>
      <c r="I22" s="104" t="s">
        <v>78</v>
      </c>
      <c r="J22" s="104">
        <f t="shared" si="8"/>
        <v>16</v>
      </c>
      <c r="K22" s="106">
        <v>0.0073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4"/>
        <v>92</v>
      </c>
      <c r="B23" s="101" t="str">
        <f t="shared" si="1"/>
        <v>Nov 17, 2023</v>
      </c>
      <c r="C23" s="102">
        <f t="shared" si="2"/>
        <v>1984.7</v>
      </c>
      <c r="D23" s="3">
        <f t="shared" si="5"/>
        <v>-0.001308307754</v>
      </c>
      <c r="E23" s="3">
        <f t="shared" si="3"/>
        <v>-0.0013</v>
      </c>
      <c r="F23" s="104">
        <f t="shared" si="6"/>
        <v>17</v>
      </c>
      <c r="G23" s="105">
        <v>2126.3</v>
      </c>
      <c r="H23" s="104">
        <f t="shared" si="7"/>
        <v>17</v>
      </c>
      <c r="I23" s="104" t="s">
        <v>79</v>
      </c>
      <c r="J23" s="104">
        <f t="shared" si="8"/>
        <v>17</v>
      </c>
      <c r="K23" s="106">
        <v>0.0146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4"/>
        <v>91</v>
      </c>
      <c r="B24" s="101" t="str">
        <f t="shared" si="1"/>
        <v>Nov 20, 2023</v>
      </c>
      <c r="C24" s="102">
        <f t="shared" si="2"/>
        <v>1990.7</v>
      </c>
      <c r="D24" s="3">
        <f t="shared" si="5"/>
        <v>0.003023126921</v>
      </c>
      <c r="E24" s="3">
        <f t="shared" si="3"/>
        <v>0.003</v>
      </c>
      <c r="F24" s="104">
        <f t="shared" si="6"/>
        <v>18</v>
      </c>
      <c r="G24" s="105">
        <v>2095.7</v>
      </c>
      <c r="H24" s="104">
        <f t="shared" si="7"/>
        <v>18</v>
      </c>
      <c r="I24" s="104" t="s">
        <v>80</v>
      </c>
      <c r="J24" s="104">
        <f t="shared" si="8"/>
        <v>18</v>
      </c>
      <c r="K24" s="106">
        <v>0.02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4"/>
        <v>90</v>
      </c>
      <c r="B25" s="101" t="str">
        <f t="shared" si="1"/>
        <v>Nov 21, 2023</v>
      </c>
      <c r="C25" s="102">
        <f t="shared" si="2"/>
        <v>2012</v>
      </c>
      <c r="D25" s="3">
        <f t="shared" si="5"/>
        <v>0.01069975386</v>
      </c>
      <c r="E25" s="3">
        <f t="shared" si="3"/>
        <v>0.0107</v>
      </c>
      <c r="F25" s="104">
        <f t="shared" si="6"/>
        <v>19</v>
      </c>
      <c r="G25" s="105">
        <v>2054.7</v>
      </c>
      <c r="H25" s="104">
        <f t="shared" si="7"/>
        <v>19</v>
      </c>
      <c r="I25" s="104" t="s">
        <v>81</v>
      </c>
      <c r="J25" s="104">
        <f t="shared" si="8"/>
        <v>19</v>
      </c>
      <c r="K25" s="106">
        <v>0.0059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4"/>
        <v>89</v>
      </c>
      <c r="B26" s="101" t="str">
        <f t="shared" si="1"/>
        <v>Nov 22, 2023</v>
      </c>
      <c r="C26" s="102">
        <f t="shared" si="2"/>
        <v>2003.4</v>
      </c>
      <c r="D26" s="3">
        <f t="shared" si="5"/>
        <v>-0.004274353877</v>
      </c>
      <c r="E26" s="3">
        <f t="shared" si="3"/>
        <v>-0.0043</v>
      </c>
      <c r="F26" s="104">
        <f t="shared" si="6"/>
        <v>20</v>
      </c>
      <c r="G26" s="105">
        <v>2042.7</v>
      </c>
      <c r="H26" s="104">
        <f t="shared" si="7"/>
        <v>20</v>
      </c>
      <c r="I26" s="104" t="s">
        <v>82</v>
      </c>
      <c r="J26" s="104">
        <f t="shared" si="8"/>
        <v>20</v>
      </c>
      <c r="K26" s="106">
        <v>0.0041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4"/>
        <v>88</v>
      </c>
      <c r="B27" s="101" t="str">
        <f t="shared" si="1"/>
        <v>Nov 23, 2023</v>
      </c>
      <c r="C27" s="102">
        <f t="shared" si="2"/>
        <v>1994.75</v>
      </c>
      <c r="D27" s="3">
        <f t="shared" si="5"/>
        <v>-0.004317659978</v>
      </c>
      <c r="E27" s="3">
        <f t="shared" si="3"/>
        <v>-0.0043</v>
      </c>
      <c r="F27" s="104">
        <f t="shared" si="6"/>
        <v>21</v>
      </c>
      <c r="G27" s="105">
        <v>2034.4</v>
      </c>
      <c r="H27" s="104">
        <f t="shared" si="7"/>
        <v>21</v>
      </c>
      <c r="I27" s="104" t="s">
        <v>83</v>
      </c>
      <c r="J27" s="104">
        <f t="shared" si="8"/>
        <v>21</v>
      </c>
      <c r="K27" s="106">
        <v>0.0026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4"/>
        <v>87</v>
      </c>
      <c r="B28" s="101" t="str">
        <f t="shared" si="1"/>
        <v>Nov 24, 2023</v>
      </c>
      <c r="C28" s="102">
        <f t="shared" si="2"/>
        <v>2013.7</v>
      </c>
      <c r="D28" s="3">
        <f t="shared" si="5"/>
        <v>0.009499937336</v>
      </c>
      <c r="E28" s="3">
        <f t="shared" si="3"/>
        <v>0.0095</v>
      </c>
      <c r="F28" s="104">
        <f t="shared" si="6"/>
        <v>22</v>
      </c>
      <c r="G28" s="107">
        <v>2029.1</v>
      </c>
      <c r="H28" s="104">
        <f t="shared" si="7"/>
        <v>22</v>
      </c>
      <c r="I28" s="104" t="s">
        <v>84</v>
      </c>
      <c r="J28" s="104">
        <f t="shared" si="8"/>
        <v>22</v>
      </c>
      <c r="K28" s="108">
        <v>-0.0051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4"/>
        <v>86</v>
      </c>
      <c r="B29" s="101" t="str">
        <f t="shared" si="1"/>
        <v>Nov 27, 2023</v>
      </c>
      <c r="C29" s="102">
        <f t="shared" si="2"/>
        <v>2023.1</v>
      </c>
      <c r="D29" s="3">
        <f t="shared" si="5"/>
        <v>0.004668024035</v>
      </c>
      <c r="E29" s="3">
        <f t="shared" si="3"/>
        <v>0.0047</v>
      </c>
      <c r="F29" s="104">
        <f t="shared" si="6"/>
        <v>23</v>
      </c>
      <c r="G29" s="105">
        <v>2039.4</v>
      </c>
      <c r="H29" s="104">
        <f t="shared" si="7"/>
        <v>23</v>
      </c>
      <c r="I29" s="104" t="s">
        <v>85</v>
      </c>
      <c r="J29" s="104">
        <f t="shared" si="8"/>
        <v>23</v>
      </c>
      <c r="K29" s="106">
        <v>0.0043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4"/>
        <v>85</v>
      </c>
      <c r="B30" s="101" t="str">
        <f t="shared" si="1"/>
        <v>Nov 28, 2023</v>
      </c>
      <c r="C30" s="102">
        <f t="shared" si="2"/>
        <v>2050.5</v>
      </c>
      <c r="D30" s="3">
        <f t="shared" si="5"/>
        <v>0.01354357175</v>
      </c>
      <c r="E30" s="3">
        <f t="shared" si="3"/>
        <v>0.0135</v>
      </c>
      <c r="F30" s="104">
        <f t="shared" si="6"/>
        <v>24</v>
      </c>
      <c r="G30" s="107">
        <v>2030.7</v>
      </c>
      <c r="H30" s="104">
        <f t="shared" si="7"/>
        <v>24</v>
      </c>
      <c r="I30" s="104" t="s">
        <v>86</v>
      </c>
      <c r="J30" s="104">
        <f t="shared" si="8"/>
        <v>24</v>
      </c>
      <c r="K30" s="108">
        <v>-0.0018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4"/>
        <v>84</v>
      </c>
      <c r="B31" s="101" t="str">
        <f t="shared" si="1"/>
        <v>Nov 29, 2023</v>
      </c>
      <c r="C31" s="102">
        <f t="shared" si="2"/>
        <v>2067.1</v>
      </c>
      <c r="D31" s="3">
        <f t="shared" si="5"/>
        <v>0.008095586442</v>
      </c>
      <c r="E31" s="3">
        <f t="shared" si="3"/>
        <v>0.0081</v>
      </c>
      <c r="F31" s="104">
        <f t="shared" si="6"/>
        <v>25</v>
      </c>
      <c r="G31" s="107">
        <v>2034.3</v>
      </c>
      <c r="H31" s="104">
        <f t="shared" si="7"/>
        <v>25</v>
      </c>
      <c r="I31" s="104" t="s">
        <v>87</v>
      </c>
      <c r="J31" s="104">
        <f t="shared" si="8"/>
        <v>25</v>
      </c>
      <c r="K31" s="108">
        <v>-0.0027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4"/>
        <v>83</v>
      </c>
      <c r="B32" s="101" t="str">
        <f t="shared" si="1"/>
        <v>Nov 30, 2023</v>
      </c>
      <c r="C32" s="102">
        <f t="shared" si="2"/>
        <v>2057.2</v>
      </c>
      <c r="D32" s="3">
        <f t="shared" si="5"/>
        <v>-0.004789318369</v>
      </c>
      <c r="E32" s="3">
        <f t="shared" si="3"/>
        <v>-0.0048</v>
      </c>
      <c r="F32" s="104">
        <f t="shared" si="6"/>
        <v>26</v>
      </c>
      <c r="G32" s="105">
        <v>2039.8</v>
      </c>
      <c r="H32" s="104">
        <f t="shared" si="7"/>
        <v>26</v>
      </c>
      <c r="I32" s="104" t="s">
        <v>88</v>
      </c>
      <c r="J32" s="104">
        <f t="shared" si="8"/>
        <v>26</v>
      </c>
      <c r="K32" s="106">
        <v>0.0061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4"/>
        <v>82</v>
      </c>
      <c r="B33" s="101" t="str">
        <f t="shared" si="1"/>
        <v>Dec 01, 2023</v>
      </c>
      <c r="C33" s="102">
        <f t="shared" si="2"/>
        <v>2089.7</v>
      </c>
      <c r="D33" s="3">
        <f t="shared" si="5"/>
        <v>0.01579817227</v>
      </c>
      <c r="E33" s="3">
        <f t="shared" si="3"/>
        <v>0.0158</v>
      </c>
      <c r="F33" s="104">
        <f t="shared" si="6"/>
        <v>27</v>
      </c>
      <c r="G33" s="105">
        <v>2027.5</v>
      </c>
      <c r="H33" s="104">
        <f t="shared" si="7"/>
        <v>27</v>
      </c>
      <c r="I33" s="104" t="s">
        <v>89</v>
      </c>
      <c r="J33" s="104">
        <f t="shared" si="8"/>
        <v>27</v>
      </c>
      <c r="K33" s="106">
        <v>0.0017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4"/>
        <v>81</v>
      </c>
      <c r="B34" s="101" t="str">
        <f t="shared" si="1"/>
        <v>Dec 04, 2023</v>
      </c>
      <c r="C34" s="102">
        <f t="shared" si="2"/>
        <v>2042.2</v>
      </c>
      <c r="D34" s="3">
        <f t="shared" si="5"/>
        <v>-0.02273053548</v>
      </c>
      <c r="E34" s="3">
        <f t="shared" si="3"/>
        <v>-0.0227</v>
      </c>
      <c r="F34" s="104">
        <f t="shared" si="6"/>
        <v>28</v>
      </c>
      <c r="G34" s="105">
        <v>2024.1</v>
      </c>
      <c r="H34" s="104">
        <f t="shared" si="7"/>
        <v>28</v>
      </c>
      <c r="I34" s="104" t="s">
        <v>90</v>
      </c>
      <c r="J34" s="104">
        <f t="shared" si="8"/>
        <v>28</v>
      </c>
      <c r="K34" s="106">
        <v>0.0046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4"/>
        <v>80</v>
      </c>
      <c r="B35" s="101" t="str">
        <f t="shared" si="1"/>
        <v>Dec 05, 2023</v>
      </c>
      <c r="C35" s="102">
        <f t="shared" si="2"/>
        <v>2036.3</v>
      </c>
      <c r="D35" s="3">
        <f t="shared" si="5"/>
        <v>-0.00288904123</v>
      </c>
      <c r="E35" s="3">
        <f t="shared" si="3"/>
        <v>-0.0029</v>
      </c>
      <c r="F35" s="104">
        <f t="shared" si="6"/>
        <v>29</v>
      </c>
      <c r="G35" s="105">
        <v>2014.9</v>
      </c>
      <c r="H35" s="104">
        <f t="shared" si="7"/>
        <v>29</v>
      </c>
      <c r="I35" s="104" t="s">
        <v>91</v>
      </c>
      <c r="J35" s="104">
        <f t="shared" si="8"/>
        <v>29</v>
      </c>
      <c r="K35" s="106">
        <v>0.0038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4"/>
        <v>79</v>
      </c>
      <c r="B36" s="101" t="str">
        <f t="shared" si="1"/>
        <v>Dec 06, 2023</v>
      </c>
      <c r="C36" s="102">
        <f t="shared" si="2"/>
        <v>2047.9</v>
      </c>
      <c r="D36" s="3">
        <f t="shared" si="5"/>
        <v>0.00569660659</v>
      </c>
      <c r="E36" s="3">
        <f t="shared" si="3"/>
        <v>0.0057</v>
      </c>
      <c r="F36" s="104">
        <f t="shared" si="6"/>
        <v>30</v>
      </c>
      <c r="G36" s="107">
        <v>2007.2</v>
      </c>
      <c r="H36" s="104">
        <f t="shared" si="7"/>
        <v>30</v>
      </c>
      <c r="I36" s="104" t="s">
        <v>93</v>
      </c>
      <c r="J36" s="104">
        <f t="shared" si="8"/>
        <v>30</v>
      </c>
      <c r="K36" s="108">
        <v>-0.0127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4"/>
        <v>78</v>
      </c>
      <c r="B37" s="101" t="str">
        <f t="shared" si="1"/>
        <v>Dec 07, 2023</v>
      </c>
      <c r="C37" s="102">
        <f t="shared" si="2"/>
        <v>2046.4</v>
      </c>
      <c r="D37" s="3">
        <f t="shared" si="5"/>
        <v>-0.0007324576395</v>
      </c>
      <c r="E37" s="3">
        <f t="shared" si="3"/>
        <v>-0.0007</v>
      </c>
      <c r="F37" s="104">
        <f t="shared" si="6"/>
        <v>31</v>
      </c>
      <c r="G37" s="107">
        <v>2033.0</v>
      </c>
      <c r="H37" s="104">
        <f t="shared" si="7"/>
        <v>31</v>
      </c>
      <c r="I37" s="104" t="s">
        <v>94</v>
      </c>
      <c r="J37" s="104">
        <f t="shared" si="8"/>
        <v>31</v>
      </c>
      <c r="K37" s="108">
        <v>-0.0028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4"/>
        <v>77</v>
      </c>
      <c r="B38" s="101" t="str">
        <f t="shared" si="1"/>
        <v>Dec 08, 2023</v>
      </c>
      <c r="C38" s="102">
        <f t="shared" si="2"/>
        <v>2014.5</v>
      </c>
      <c r="D38" s="3">
        <f t="shared" si="5"/>
        <v>-0.01558835027</v>
      </c>
      <c r="E38" s="3">
        <f t="shared" si="3"/>
        <v>-0.0156</v>
      </c>
      <c r="F38" s="104">
        <f t="shared" si="6"/>
        <v>32</v>
      </c>
      <c r="G38" s="107">
        <v>2038.7</v>
      </c>
      <c r="H38" s="104">
        <f t="shared" si="7"/>
        <v>32</v>
      </c>
      <c r="I38" s="104" t="s">
        <v>95</v>
      </c>
      <c r="J38" s="104">
        <f t="shared" si="8"/>
        <v>32</v>
      </c>
      <c r="K38" s="108">
        <v>-0.0045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4"/>
        <v>76</v>
      </c>
      <c r="B39" s="101" t="str">
        <f t="shared" si="1"/>
        <v>Dec 11, 2023</v>
      </c>
      <c r="C39" s="102">
        <f t="shared" si="2"/>
        <v>1993.7</v>
      </c>
      <c r="D39" s="3">
        <f t="shared" si="5"/>
        <v>-0.01032514272</v>
      </c>
      <c r="E39" s="3">
        <f t="shared" si="3"/>
        <v>-0.0103</v>
      </c>
      <c r="F39" s="104">
        <f t="shared" si="6"/>
        <v>33</v>
      </c>
      <c r="G39" s="107">
        <v>2047.9</v>
      </c>
      <c r="H39" s="104">
        <f t="shared" si="7"/>
        <v>33</v>
      </c>
      <c r="I39" s="104" t="s">
        <v>96</v>
      </c>
      <c r="J39" s="104">
        <f t="shared" si="8"/>
        <v>33</v>
      </c>
      <c r="K39" s="108">
        <v>-0.0019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4"/>
        <v>75</v>
      </c>
      <c r="B40" s="101" t="str">
        <f t="shared" si="1"/>
        <v>Dec 12, 2023</v>
      </c>
      <c r="C40" s="102">
        <f t="shared" si="2"/>
        <v>1983.9</v>
      </c>
      <c r="D40" s="3">
        <f t="shared" si="5"/>
        <v>-0.004915483774</v>
      </c>
      <c r="E40" s="3">
        <f t="shared" si="3"/>
        <v>-0.0049</v>
      </c>
      <c r="F40" s="104">
        <f t="shared" si="6"/>
        <v>34</v>
      </c>
      <c r="G40" s="105">
        <v>2051.7</v>
      </c>
      <c r="H40" s="104">
        <f t="shared" si="7"/>
        <v>34</v>
      </c>
      <c r="I40" s="104" t="s">
        <v>97</v>
      </c>
      <c r="J40" s="104">
        <f t="shared" si="8"/>
        <v>34</v>
      </c>
      <c r="K40" s="106">
        <v>1.0E-4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4"/>
        <v>74</v>
      </c>
      <c r="B41" s="101" t="str">
        <f t="shared" si="1"/>
        <v>Dec 13, 2023</v>
      </c>
      <c r="C41" s="102">
        <f t="shared" si="2"/>
        <v>1988.1</v>
      </c>
      <c r="D41" s="3">
        <f t="shared" si="5"/>
        <v>0.00211704219</v>
      </c>
      <c r="E41" s="3">
        <f t="shared" si="3"/>
        <v>0.0021</v>
      </c>
      <c r="F41" s="104">
        <f t="shared" si="6"/>
        <v>35</v>
      </c>
      <c r="G41" s="105">
        <v>2051.4</v>
      </c>
      <c r="H41" s="104">
        <f t="shared" si="7"/>
        <v>35</v>
      </c>
      <c r="I41" s="104" t="s">
        <v>98</v>
      </c>
      <c r="J41" s="104">
        <f t="shared" si="8"/>
        <v>35</v>
      </c>
      <c r="K41" s="106">
        <v>0.0042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4"/>
        <v>73</v>
      </c>
      <c r="B42" s="101" t="str">
        <f t="shared" si="1"/>
        <v>Dec 14, 2023</v>
      </c>
      <c r="C42" s="102">
        <f t="shared" si="2"/>
        <v>2035.2</v>
      </c>
      <c r="D42" s="3">
        <f t="shared" si="5"/>
        <v>0.02369096122</v>
      </c>
      <c r="E42" s="3">
        <f t="shared" si="3"/>
        <v>0.0237</v>
      </c>
      <c r="F42" s="104">
        <f t="shared" si="6"/>
        <v>36</v>
      </c>
      <c r="G42" s="107">
        <v>2042.9</v>
      </c>
      <c r="H42" s="104">
        <f t="shared" si="7"/>
        <v>36</v>
      </c>
      <c r="I42" s="104" t="s">
        <v>99</v>
      </c>
      <c r="J42" s="104">
        <f t="shared" si="8"/>
        <v>36</v>
      </c>
      <c r="K42" s="108">
        <v>-0.0053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4"/>
        <v>72</v>
      </c>
      <c r="B43" s="101" t="str">
        <f t="shared" si="1"/>
        <v>Dec 15, 2023</v>
      </c>
      <c r="C43" s="102">
        <f t="shared" si="2"/>
        <v>2026</v>
      </c>
      <c r="D43" s="3">
        <f t="shared" si="5"/>
        <v>-0.004520440252</v>
      </c>
      <c r="E43" s="3">
        <f t="shared" si="3"/>
        <v>-0.0045</v>
      </c>
      <c r="F43" s="104">
        <f t="shared" si="6"/>
        <v>37</v>
      </c>
      <c r="G43" s="107">
        <v>2053.7</v>
      </c>
      <c r="H43" s="104">
        <f t="shared" si="7"/>
        <v>37</v>
      </c>
      <c r="I43" s="104" t="s">
        <v>100</v>
      </c>
      <c r="J43" s="104">
        <f t="shared" si="8"/>
        <v>37</v>
      </c>
      <c r="K43" s="108">
        <v>-0.0084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4"/>
        <v>71</v>
      </c>
      <c r="B44" s="101" t="str">
        <f t="shared" si="1"/>
        <v>Dec 18, 2023</v>
      </c>
      <c r="C44" s="102">
        <f t="shared" si="2"/>
        <v>2030.9</v>
      </c>
      <c r="D44" s="3">
        <f t="shared" si="5"/>
        <v>0.002418558736</v>
      </c>
      <c r="E44" s="3">
        <f t="shared" si="3"/>
        <v>0.0024</v>
      </c>
      <c r="F44" s="104">
        <f t="shared" si="6"/>
        <v>38</v>
      </c>
      <c r="G44" s="105">
        <v>2071.1</v>
      </c>
      <c r="H44" s="104">
        <f t="shared" si="7"/>
        <v>38</v>
      </c>
      <c r="I44" s="104" t="s">
        <v>101</v>
      </c>
      <c r="J44" s="104">
        <f t="shared" si="8"/>
        <v>38</v>
      </c>
      <c r="K44" s="106">
        <v>0.0018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4"/>
        <v>70</v>
      </c>
      <c r="B45" s="101" t="str">
        <f t="shared" si="1"/>
        <v>Dec 19, 2023</v>
      </c>
      <c r="C45" s="102">
        <f t="shared" si="2"/>
        <v>2042.6</v>
      </c>
      <c r="D45" s="3">
        <f t="shared" si="5"/>
        <v>0.005760992663</v>
      </c>
      <c r="E45" s="3">
        <f t="shared" si="3"/>
        <v>0.0058</v>
      </c>
      <c r="F45" s="104">
        <f t="shared" si="6"/>
        <v>39</v>
      </c>
      <c r="G45" s="105">
        <v>2067.4</v>
      </c>
      <c r="H45" s="104">
        <f t="shared" si="7"/>
        <v>39</v>
      </c>
      <c r="I45" s="104" t="s">
        <v>102</v>
      </c>
      <c r="J45" s="104">
        <f t="shared" si="8"/>
        <v>39</v>
      </c>
      <c r="K45" s="106">
        <v>0.008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4"/>
        <v>69</v>
      </c>
      <c r="B46" s="101" t="str">
        <f t="shared" si="1"/>
        <v>Dec 20, 2023</v>
      </c>
      <c r="C46" s="102">
        <f t="shared" si="2"/>
        <v>2038.1</v>
      </c>
      <c r="D46" s="3">
        <f t="shared" si="5"/>
        <v>-0.002203074513</v>
      </c>
      <c r="E46" s="3">
        <f t="shared" si="3"/>
        <v>-0.0022</v>
      </c>
      <c r="F46" s="104">
        <f t="shared" si="6"/>
        <v>40</v>
      </c>
      <c r="G46" s="105">
        <v>2050.9</v>
      </c>
      <c r="H46" s="104">
        <f t="shared" si="7"/>
        <v>40</v>
      </c>
      <c r="I46" s="104" t="s">
        <v>103</v>
      </c>
      <c r="J46" s="104">
        <f t="shared" si="8"/>
        <v>40</v>
      </c>
      <c r="K46" s="106">
        <v>0.0079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4"/>
        <v>68</v>
      </c>
      <c r="B47" s="101" t="str">
        <f t="shared" si="1"/>
        <v>Dec 21, 2023</v>
      </c>
      <c r="C47" s="102">
        <f t="shared" si="2"/>
        <v>2041.8</v>
      </c>
      <c r="D47" s="3">
        <f t="shared" si="5"/>
        <v>0.001815416319</v>
      </c>
      <c r="E47" s="3">
        <f t="shared" si="3"/>
        <v>0.0018</v>
      </c>
      <c r="F47" s="104">
        <f t="shared" si="6"/>
        <v>41</v>
      </c>
      <c r="G47" s="105">
        <v>2034.9</v>
      </c>
      <c r="H47" s="104">
        <f t="shared" si="7"/>
        <v>41</v>
      </c>
      <c r="I47" s="104" t="s">
        <v>104</v>
      </c>
      <c r="J47" s="104">
        <f t="shared" si="8"/>
        <v>41</v>
      </c>
      <c r="K47" s="106">
        <v>0.0041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4"/>
        <v>67</v>
      </c>
      <c r="B48" s="101" t="str">
        <f t="shared" si="1"/>
        <v>Dec 22, 2023</v>
      </c>
      <c r="C48" s="102">
        <f t="shared" si="2"/>
        <v>2059.6</v>
      </c>
      <c r="D48" s="3">
        <f t="shared" si="5"/>
        <v>0.008717798021</v>
      </c>
      <c r="E48" s="3">
        <f t="shared" si="3"/>
        <v>0.0087</v>
      </c>
      <c r="F48" s="104">
        <f t="shared" si="6"/>
        <v>42</v>
      </c>
      <c r="G48" s="107">
        <v>2026.6</v>
      </c>
      <c r="H48" s="104">
        <f t="shared" si="7"/>
        <v>42</v>
      </c>
      <c r="I48" s="104" t="s">
        <v>175</v>
      </c>
      <c r="J48" s="104">
        <f t="shared" si="8"/>
        <v>42</v>
      </c>
      <c r="K48" s="108">
        <v>-2.0E-4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4"/>
        <v>66</v>
      </c>
      <c r="B49" s="101" t="str">
        <f t="shared" si="1"/>
        <v>Dec 25, 2023</v>
      </c>
      <c r="C49" s="102">
        <f t="shared" si="2"/>
        <v>2066.65</v>
      </c>
      <c r="D49" s="3">
        <f t="shared" si="5"/>
        <v>0.003422994756</v>
      </c>
      <c r="E49" s="3">
        <f t="shared" si="3"/>
        <v>0.0034</v>
      </c>
      <c r="F49" s="104">
        <f t="shared" si="6"/>
        <v>43</v>
      </c>
      <c r="G49" s="105">
        <v>2027.1</v>
      </c>
      <c r="H49" s="104">
        <f t="shared" si="7"/>
        <v>43</v>
      </c>
      <c r="I49" s="104" t="s">
        <v>105</v>
      </c>
      <c r="J49" s="104">
        <f t="shared" si="8"/>
        <v>43</v>
      </c>
      <c r="K49" s="106">
        <v>8.0E-4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4"/>
        <v>65</v>
      </c>
      <c r="B50" s="101" t="str">
        <f t="shared" si="1"/>
        <v>Dec 26, 2023</v>
      </c>
      <c r="C50" s="102">
        <f t="shared" si="2"/>
        <v>2060.4</v>
      </c>
      <c r="D50" s="3">
        <f t="shared" si="5"/>
        <v>-0.003024217937</v>
      </c>
      <c r="E50" s="3">
        <f t="shared" si="3"/>
        <v>-0.003</v>
      </c>
      <c r="F50" s="104">
        <f t="shared" si="6"/>
        <v>44</v>
      </c>
      <c r="G50" s="107">
        <v>2025.4</v>
      </c>
      <c r="H50" s="104">
        <f t="shared" si="7"/>
        <v>44</v>
      </c>
      <c r="I50" s="104" t="s">
        <v>106</v>
      </c>
      <c r="J50" s="104">
        <f t="shared" si="8"/>
        <v>44</v>
      </c>
      <c r="K50" s="108">
        <v>-0.0048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4"/>
        <v>64</v>
      </c>
      <c r="B51" s="101" t="str">
        <f t="shared" si="1"/>
        <v>Dec 27, 2023</v>
      </c>
      <c r="C51" s="102">
        <f t="shared" si="2"/>
        <v>2083.4</v>
      </c>
      <c r="D51" s="3">
        <f t="shared" si="5"/>
        <v>0.01116288099</v>
      </c>
      <c r="E51" s="3">
        <f t="shared" si="3"/>
        <v>0.0112</v>
      </c>
      <c r="F51" s="104">
        <f t="shared" si="6"/>
        <v>45</v>
      </c>
      <c r="G51" s="105">
        <v>2035.2</v>
      </c>
      <c r="H51" s="104">
        <f t="shared" si="7"/>
        <v>45</v>
      </c>
      <c r="I51" s="104" t="s">
        <v>107</v>
      </c>
      <c r="J51" s="104">
        <f t="shared" si="8"/>
        <v>45</v>
      </c>
      <c r="K51" s="106">
        <v>0.0018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4"/>
        <v>63</v>
      </c>
      <c r="B52" s="101" t="str">
        <f t="shared" si="1"/>
        <v>Dec 28, 2023</v>
      </c>
      <c r="C52" s="102">
        <f t="shared" si="2"/>
        <v>2083.5</v>
      </c>
      <c r="D52" s="3">
        <f t="shared" si="5"/>
        <v>0.00004799846405</v>
      </c>
      <c r="E52" s="3">
        <f t="shared" si="3"/>
        <v>0</v>
      </c>
      <c r="F52" s="104">
        <f t="shared" si="6"/>
        <v>46</v>
      </c>
      <c r="G52" s="107">
        <v>2031.5</v>
      </c>
      <c r="H52" s="104">
        <f t="shared" si="7"/>
        <v>46</v>
      </c>
      <c r="I52" s="104" t="s">
        <v>176</v>
      </c>
      <c r="J52" s="104">
        <f t="shared" si="8"/>
        <v>46</v>
      </c>
      <c r="K52" s="108">
        <v>-0.0034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4"/>
        <v>62</v>
      </c>
      <c r="B53" s="101" t="str">
        <f t="shared" si="1"/>
        <v>Dec 29, 2023</v>
      </c>
      <c r="C53" s="102">
        <f t="shared" si="2"/>
        <v>2071.8</v>
      </c>
      <c r="D53" s="3">
        <f t="shared" si="5"/>
        <v>-0.005615550756</v>
      </c>
      <c r="E53" s="3">
        <f t="shared" si="3"/>
        <v>-0.0056</v>
      </c>
      <c r="F53" s="104">
        <f t="shared" si="6"/>
        <v>47</v>
      </c>
      <c r="G53" s="105">
        <v>2038.5</v>
      </c>
      <c r="H53" s="104">
        <f t="shared" si="7"/>
        <v>47</v>
      </c>
      <c r="I53" s="104" t="s">
        <v>108</v>
      </c>
      <c r="J53" s="104">
        <f t="shared" si="8"/>
        <v>47</v>
      </c>
      <c r="K53" s="106">
        <v>0.0036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4"/>
        <v>61</v>
      </c>
      <c r="B54" s="101" t="str">
        <f t="shared" si="1"/>
        <v>Jan 01, 2024</v>
      </c>
      <c r="C54" s="102">
        <f t="shared" si="2"/>
        <v>2072.9</v>
      </c>
      <c r="D54" s="3">
        <f t="shared" si="5"/>
        <v>0.0005309392799</v>
      </c>
      <c r="E54" s="3">
        <f t="shared" si="3"/>
        <v>0.0005</v>
      </c>
      <c r="F54" s="104">
        <f t="shared" si="6"/>
        <v>48</v>
      </c>
      <c r="G54" s="105">
        <v>2031.1</v>
      </c>
      <c r="H54" s="104">
        <f t="shared" si="7"/>
        <v>48</v>
      </c>
      <c r="I54" s="104" t="s">
        <v>109</v>
      </c>
      <c r="J54" s="104">
        <f t="shared" si="8"/>
        <v>48</v>
      </c>
      <c r="K54" s="106">
        <v>0.0075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4"/>
        <v>60</v>
      </c>
      <c r="B55" s="101" t="str">
        <f t="shared" si="1"/>
        <v>Jan 02, 2024</v>
      </c>
      <c r="C55" s="102">
        <f t="shared" si="2"/>
        <v>2073.4</v>
      </c>
      <c r="D55" s="3">
        <f t="shared" si="5"/>
        <v>0.0002412079695</v>
      </c>
      <c r="E55" s="3">
        <f t="shared" si="3"/>
        <v>0.0002</v>
      </c>
      <c r="F55" s="104">
        <f t="shared" si="6"/>
        <v>49</v>
      </c>
      <c r="G55" s="107">
        <v>2015.9</v>
      </c>
      <c r="H55" s="104">
        <f t="shared" si="7"/>
        <v>49</v>
      </c>
      <c r="I55" s="104" t="s">
        <v>110</v>
      </c>
      <c r="J55" s="104">
        <f t="shared" si="8"/>
        <v>49</v>
      </c>
      <c r="K55" s="108">
        <v>-0.0117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4"/>
        <v>59</v>
      </c>
      <c r="B56" s="101" t="str">
        <f t="shared" si="1"/>
        <v>Jan 03, 2024</v>
      </c>
      <c r="C56" s="102">
        <f t="shared" si="2"/>
        <v>2042.8</v>
      </c>
      <c r="D56" s="3">
        <f t="shared" si="5"/>
        <v>-0.0147583679</v>
      </c>
      <c r="E56" s="3">
        <f t="shared" si="3"/>
        <v>-0.0148</v>
      </c>
      <c r="F56" s="104">
        <f t="shared" si="6"/>
        <v>50</v>
      </c>
      <c r="G56" s="107">
        <v>2039.7</v>
      </c>
      <c r="H56" s="104">
        <f t="shared" si="7"/>
        <v>50</v>
      </c>
      <c r="I56" s="104" t="s">
        <v>111</v>
      </c>
      <c r="J56" s="104">
        <f t="shared" si="8"/>
        <v>50</v>
      </c>
      <c r="K56" s="108">
        <v>-0.0088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4"/>
        <v>58</v>
      </c>
      <c r="B57" s="101" t="str">
        <f t="shared" si="1"/>
        <v>Jan 04, 2024</v>
      </c>
      <c r="C57" s="102">
        <f t="shared" si="2"/>
        <v>2050</v>
      </c>
      <c r="D57" s="3">
        <f t="shared" si="5"/>
        <v>0.003524574114</v>
      </c>
      <c r="E57" s="3">
        <f t="shared" si="3"/>
        <v>0.0035</v>
      </c>
      <c r="F57" s="104">
        <f t="shared" si="6"/>
        <v>51</v>
      </c>
      <c r="G57" s="107">
        <v>2057.85</v>
      </c>
      <c r="H57" s="104">
        <f t="shared" si="7"/>
        <v>51</v>
      </c>
      <c r="I57" s="104" t="s">
        <v>112</v>
      </c>
      <c r="J57" s="104">
        <f t="shared" si="8"/>
        <v>51</v>
      </c>
      <c r="K57" s="108">
        <v>-0.0016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4"/>
        <v>57</v>
      </c>
      <c r="B58" s="101" t="str">
        <f t="shared" si="1"/>
        <v>Jan 05, 2024</v>
      </c>
      <c r="C58" s="102">
        <f t="shared" si="2"/>
        <v>2049.8</v>
      </c>
      <c r="D58" s="3">
        <f t="shared" si="5"/>
        <v>-0.00009756097561</v>
      </c>
      <c r="E58" s="3">
        <f t="shared" si="3"/>
        <v>-0.0001</v>
      </c>
      <c r="F58" s="104">
        <f t="shared" si="6"/>
        <v>52</v>
      </c>
      <c r="G58" s="105">
        <v>2061.1</v>
      </c>
      <c r="H58" s="104">
        <f t="shared" si="7"/>
        <v>52</v>
      </c>
      <c r="I58" s="104" t="s">
        <v>113</v>
      </c>
      <c r="J58" s="104">
        <f t="shared" si="8"/>
        <v>52</v>
      </c>
      <c r="K58" s="106">
        <v>0.0159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4"/>
        <v>56</v>
      </c>
      <c r="B59" s="101" t="str">
        <f t="shared" si="1"/>
        <v>Jan 08, 2024</v>
      </c>
      <c r="C59" s="102">
        <f t="shared" si="2"/>
        <v>2033.5</v>
      </c>
      <c r="D59" s="3">
        <f t="shared" si="5"/>
        <v>-0.007951995317</v>
      </c>
      <c r="E59" s="3">
        <f t="shared" si="3"/>
        <v>-0.008</v>
      </c>
      <c r="F59" s="104">
        <f t="shared" si="6"/>
        <v>53</v>
      </c>
      <c r="G59" s="107">
        <v>2028.9</v>
      </c>
      <c r="H59" s="104">
        <f t="shared" si="7"/>
        <v>53</v>
      </c>
      <c r="I59" s="104" t="s">
        <v>114</v>
      </c>
      <c r="J59" s="104">
        <f t="shared" si="8"/>
        <v>53</v>
      </c>
      <c r="K59" s="108">
        <v>-0.0042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4"/>
        <v>55</v>
      </c>
      <c r="B60" s="101" t="str">
        <f t="shared" si="1"/>
        <v>Jan 09, 2024</v>
      </c>
      <c r="C60" s="102">
        <f t="shared" si="2"/>
        <v>2033</v>
      </c>
      <c r="D60" s="3">
        <f t="shared" si="5"/>
        <v>-0.0002458814851</v>
      </c>
      <c r="E60" s="3">
        <f t="shared" si="3"/>
        <v>-0.0002</v>
      </c>
      <c r="F60" s="104">
        <f t="shared" si="6"/>
        <v>54</v>
      </c>
      <c r="G60" s="105">
        <v>2037.5</v>
      </c>
      <c r="H60" s="104">
        <f t="shared" si="7"/>
        <v>54</v>
      </c>
      <c r="I60" s="104" t="s">
        <v>115</v>
      </c>
      <c r="J60" s="104">
        <f t="shared" si="8"/>
        <v>54</v>
      </c>
      <c r="K60" s="106">
        <v>0.0022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4"/>
        <v>54</v>
      </c>
      <c r="B61" s="101" t="str">
        <f t="shared" si="1"/>
        <v>Jan 10, 2024</v>
      </c>
      <c r="C61" s="102">
        <f t="shared" si="2"/>
        <v>2037.5</v>
      </c>
      <c r="D61" s="3">
        <f t="shared" si="5"/>
        <v>0.002213477619</v>
      </c>
      <c r="E61" s="3">
        <f t="shared" si="3"/>
        <v>0.0022</v>
      </c>
      <c r="F61" s="104">
        <f t="shared" si="6"/>
        <v>55</v>
      </c>
      <c r="G61" s="107">
        <v>2033.0</v>
      </c>
      <c r="H61" s="104">
        <f t="shared" si="7"/>
        <v>55</v>
      </c>
      <c r="I61" s="104" t="s">
        <v>116</v>
      </c>
      <c r="J61" s="104">
        <f t="shared" si="8"/>
        <v>55</v>
      </c>
      <c r="K61" s="108">
        <v>-2.0E-4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4"/>
        <v>53</v>
      </c>
      <c r="B62" s="101" t="str">
        <f t="shared" si="1"/>
        <v>Jan 11, 2024</v>
      </c>
      <c r="C62" s="102">
        <f t="shared" si="2"/>
        <v>2028.9</v>
      </c>
      <c r="D62" s="3">
        <f t="shared" si="5"/>
        <v>-0.004220858896</v>
      </c>
      <c r="E62" s="3">
        <f t="shared" si="3"/>
        <v>-0.0042</v>
      </c>
      <c r="F62" s="104">
        <f t="shared" si="6"/>
        <v>56</v>
      </c>
      <c r="G62" s="107">
        <v>2033.5</v>
      </c>
      <c r="H62" s="104">
        <f t="shared" si="7"/>
        <v>56</v>
      </c>
      <c r="I62" s="104" t="s">
        <v>117</v>
      </c>
      <c r="J62" s="104">
        <f t="shared" si="8"/>
        <v>56</v>
      </c>
      <c r="K62" s="108">
        <v>-0.008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4"/>
        <v>52</v>
      </c>
      <c r="B63" s="101" t="str">
        <f t="shared" si="1"/>
        <v>Jan 12, 2024</v>
      </c>
      <c r="C63" s="102">
        <f t="shared" si="2"/>
        <v>2061.1</v>
      </c>
      <c r="D63" s="3">
        <f t="shared" si="5"/>
        <v>0.01587066884</v>
      </c>
      <c r="E63" s="3">
        <f t="shared" si="3"/>
        <v>0.0159</v>
      </c>
      <c r="F63" s="104">
        <f t="shared" si="6"/>
        <v>57</v>
      </c>
      <c r="G63" s="107">
        <v>2049.8</v>
      </c>
      <c r="H63" s="104">
        <f t="shared" si="7"/>
        <v>57</v>
      </c>
      <c r="I63" s="104" t="s">
        <v>118</v>
      </c>
      <c r="J63" s="104">
        <f t="shared" si="8"/>
        <v>57</v>
      </c>
      <c r="K63" s="108">
        <v>-1.0E-4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4"/>
        <v>51</v>
      </c>
      <c r="B64" s="101" t="str">
        <f t="shared" si="1"/>
        <v>Jan 15, 2024</v>
      </c>
      <c r="C64" s="102">
        <f t="shared" si="2"/>
        <v>2057.85</v>
      </c>
      <c r="D64" s="3">
        <f t="shared" si="5"/>
        <v>-0.001576827907</v>
      </c>
      <c r="E64" s="3">
        <f t="shared" si="3"/>
        <v>-0.0016</v>
      </c>
      <c r="F64" s="104">
        <f t="shared" si="6"/>
        <v>58</v>
      </c>
      <c r="G64" s="105">
        <v>2050.0</v>
      </c>
      <c r="H64" s="104">
        <f t="shared" si="7"/>
        <v>58</v>
      </c>
      <c r="I64" s="104" t="s">
        <v>119</v>
      </c>
      <c r="J64" s="104">
        <f t="shared" si="8"/>
        <v>58</v>
      </c>
      <c r="K64" s="106">
        <v>0.0035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4"/>
        <v>50</v>
      </c>
      <c r="B65" s="101" t="str">
        <f t="shared" si="1"/>
        <v>Jan 16, 2024</v>
      </c>
      <c r="C65" s="102">
        <f t="shared" si="2"/>
        <v>2039.7</v>
      </c>
      <c r="D65" s="3">
        <f t="shared" si="5"/>
        <v>-0.008819884831</v>
      </c>
      <c r="E65" s="3">
        <f t="shared" si="3"/>
        <v>-0.0088</v>
      </c>
      <c r="F65" s="104">
        <f t="shared" si="6"/>
        <v>59</v>
      </c>
      <c r="G65" s="107">
        <v>2042.8</v>
      </c>
      <c r="H65" s="104">
        <f t="shared" si="7"/>
        <v>59</v>
      </c>
      <c r="I65" s="104" t="s">
        <v>120</v>
      </c>
      <c r="J65" s="104">
        <f t="shared" si="8"/>
        <v>59</v>
      </c>
      <c r="K65" s="108">
        <v>-0.0148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4"/>
        <v>49</v>
      </c>
      <c r="B66" s="101" t="str">
        <f t="shared" si="1"/>
        <v>Jan 17, 2024</v>
      </c>
      <c r="C66" s="102">
        <f t="shared" si="2"/>
        <v>2015.9</v>
      </c>
      <c r="D66" s="3">
        <f t="shared" si="5"/>
        <v>-0.01166838261</v>
      </c>
      <c r="E66" s="3">
        <f t="shared" si="3"/>
        <v>-0.0117</v>
      </c>
      <c r="F66" s="104">
        <f t="shared" si="6"/>
        <v>60</v>
      </c>
      <c r="G66" s="105">
        <v>2073.4</v>
      </c>
      <c r="H66" s="104">
        <f t="shared" si="7"/>
        <v>60</v>
      </c>
      <c r="I66" s="104" t="s">
        <v>121</v>
      </c>
      <c r="J66" s="104">
        <f t="shared" si="8"/>
        <v>60</v>
      </c>
      <c r="K66" s="106">
        <v>2.0E-4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4"/>
        <v>48</v>
      </c>
      <c r="B67" s="101" t="str">
        <f t="shared" si="1"/>
        <v>Jan 18, 2024</v>
      </c>
      <c r="C67" s="102">
        <f t="shared" si="2"/>
        <v>2031.1</v>
      </c>
      <c r="D67" s="3">
        <f t="shared" si="5"/>
        <v>0.00754005655</v>
      </c>
      <c r="E67" s="3">
        <f t="shared" si="3"/>
        <v>0.0075</v>
      </c>
      <c r="F67" s="104">
        <f t="shared" si="6"/>
        <v>61</v>
      </c>
      <c r="G67" s="105">
        <v>2072.9</v>
      </c>
      <c r="H67" s="104">
        <f t="shared" si="7"/>
        <v>61</v>
      </c>
      <c r="I67" s="104" t="s">
        <v>122</v>
      </c>
      <c r="J67" s="104">
        <f t="shared" si="8"/>
        <v>61</v>
      </c>
      <c r="K67" s="106">
        <v>5.0E-4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4"/>
        <v>47</v>
      </c>
      <c r="B68" s="101" t="str">
        <f t="shared" si="1"/>
        <v>Jan 19, 2024</v>
      </c>
      <c r="C68" s="102">
        <f t="shared" si="2"/>
        <v>2038.5</v>
      </c>
      <c r="D68" s="3">
        <f t="shared" si="5"/>
        <v>0.00364334597</v>
      </c>
      <c r="E68" s="3">
        <f t="shared" si="3"/>
        <v>0.0036</v>
      </c>
      <c r="F68" s="104">
        <f t="shared" si="6"/>
        <v>62</v>
      </c>
      <c r="G68" s="107">
        <v>2071.8</v>
      </c>
      <c r="H68" s="104">
        <f t="shared" si="7"/>
        <v>62</v>
      </c>
      <c r="I68" s="104" t="s">
        <v>123</v>
      </c>
      <c r="J68" s="104">
        <f t="shared" si="8"/>
        <v>62</v>
      </c>
      <c r="K68" s="108">
        <v>-0.0056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4"/>
        <v>46</v>
      </c>
      <c r="B69" s="101" t="str">
        <f t="shared" si="1"/>
        <v>Jan 22, 2024</v>
      </c>
      <c r="C69" s="102">
        <f t="shared" si="2"/>
        <v>2031.5</v>
      </c>
      <c r="D69" s="3">
        <f t="shared" si="5"/>
        <v>-0.003433897474</v>
      </c>
      <c r="E69" s="3">
        <f t="shared" si="3"/>
        <v>-0.0034</v>
      </c>
      <c r="F69" s="104">
        <f t="shared" si="6"/>
        <v>63</v>
      </c>
      <c r="G69" s="105">
        <v>2083.5</v>
      </c>
      <c r="H69" s="104">
        <f t="shared" si="7"/>
        <v>63</v>
      </c>
      <c r="I69" s="104" t="s">
        <v>124</v>
      </c>
      <c r="J69" s="104">
        <f t="shared" si="8"/>
        <v>63</v>
      </c>
      <c r="K69" s="106">
        <v>0.0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4"/>
        <v>45</v>
      </c>
      <c r="B70" s="101" t="str">
        <f t="shared" si="1"/>
        <v>Jan 23, 2024</v>
      </c>
      <c r="C70" s="102">
        <f t="shared" si="2"/>
        <v>2035.2</v>
      </c>
      <c r="D70" s="3">
        <f t="shared" si="5"/>
        <v>0.0018213143</v>
      </c>
      <c r="E70" s="3">
        <f t="shared" si="3"/>
        <v>0.0018</v>
      </c>
      <c r="F70" s="104">
        <f t="shared" si="6"/>
        <v>64</v>
      </c>
      <c r="G70" s="105">
        <v>2083.4</v>
      </c>
      <c r="H70" s="104">
        <f t="shared" si="7"/>
        <v>64</v>
      </c>
      <c r="I70" s="104" t="s">
        <v>125</v>
      </c>
      <c r="J70" s="104">
        <f t="shared" si="8"/>
        <v>64</v>
      </c>
      <c r="K70" s="106">
        <v>0.0112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4"/>
        <v>44</v>
      </c>
      <c r="B71" s="101" t="str">
        <f t="shared" si="1"/>
        <v>Jan 24, 2024</v>
      </c>
      <c r="C71" s="102">
        <f t="shared" si="2"/>
        <v>2025.4</v>
      </c>
      <c r="D71" s="3">
        <f t="shared" si="5"/>
        <v>-0.004815251572</v>
      </c>
      <c r="E71" s="3">
        <f t="shared" si="3"/>
        <v>-0.0048</v>
      </c>
      <c r="F71" s="104">
        <f t="shared" si="6"/>
        <v>65</v>
      </c>
      <c r="G71" s="107">
        <v>2060.4</v>
      </c>
      <c r="H71" s="104">
        <f t="shared" si="7"/>
        <v>65</v>
      </c>
      <c r="I71" s="104" t="s">
        <v>126</v>
      </c>
      <c r="J71" s="104">
        <f t="shared" si="8"/>
        <v>65</v>
      </c>
      <c r="K71" s="108">
        <v>-0.003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4"/>
        <v>43</v>
      </c>
      <c r="B72" s="101" t="str">
        <f t="shared" si="1"/>
        <v>Jan 25, 2024</v>
      </c>
      <c r="C72" s="102">
        <f t="shared" si="2"/>
        <v>2027.1</v>
      </c>
      <c r="D72" s="3">
        <f t="shared" si="5"/>
        <v>0.0008393403772</v>
      </c>
      <c r="E72" s="3">
        <f t="shared" si="3"/>
        <v>0.0008</v>
      </c>
      <c r="F72" s="104">
        <f t="shared" si="6"/>
        <v>66</v>
      </c>
      <c r="G72" s="105">
        <v>2066.65</v>
      </c>
      <c r="H72" s="104">
        <f t="shared" si="7"/>
        <v>66</v>
      </c>
      <c r="I72" s="104" t="s">
        <v>177</v>
      </c>
      <c r="J72" s="104">
        <f t="shared" si="8"/>
        <v>66</v>
      </c>
      <c r="K72" s="106">
        <v>0.0034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4"/>
        <v>42</v>
      </c>
      <c r="B73" s="101" t="str">
        <f t="shared" si="1"/>
        <v>Jan 26, 2024</v>
      </c>
      <c r="C73" s="102">
        <f t="shared" si="2"/>
        <v>2026.6</v>
      </c>
      <c r="D73" s="3">
        <f t="shared" si="5"/>
        <v>-0.000246657787</v>
      </c>
      <c r="E73" s="3">
        <f t="shared" si="3"/>
        <v>-0.0002</v>
      </c>
      <c r="F73" s="104">
        <f t="shared" si="6"/>
        <v>67</v>
      </c>
      <c r="G73" s="105">
        <v>2059.6</v>
      </c>
      <c r="H73" s="104">
        <f t="shared" si="7"/>
        <v>67</v>
      </c>
      <c r="I73" s="104" t="s">
        <v>127</v>
      </c>
      <c r="J73" s="104">
        <f t="shared" si="8"/>
        <v>67</v>
      </c>
      <c r="K73" s="106">
        <v>0.0087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4"/>
        <v>41</v>
      </c>
      <c r="B74" s="101" t="str">
        <f t="shared" si="1"/>
        <v>Jan 29, 2024</v>
      </c>
      <c r="C74" s="102">
        <f t="shared" si="2"/>
        <v>2034.9</v>
      </c>
      <c r="D74" s="3">
        <f t="shared" si="5"/>
        <v>0.004095529458</v>
      </c>
      <c r="E74" s="3">
        <f t="shared" si="3"/>
        <v>0.0041</v>
      </c>
      <c r="F74" s="104">
        <f t="shared" si="6"/>
        <v>68</v>
      </c>
      <c r="G74" s="105">
        <v>2041.8</v>
      </c>
      <c r="H74" s="104">
        <f t="shared" si="7"/>
        <v>68</v>
      </c>
      <c r="I74" s="104" t="s">
        <v>128</v>
      </c>
      <c r="J74" s="104">
        <f t="shared" si="8"/>
        <v>68</v>
      </c>
      <c r="K74" s="106">
        <v>0.0018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4"/>
        <v>40</v>
      </c>
      <c r="B75" s="101" t="str">
        <f t="shared" si="1"/>
        <v>Jan 30, 2024</v>
      </c>
      <c r="C75" s="102">
        <f t="shared" si="2"/>
        <v>2050.9</v>
      </c>
      <c r="D75" s="3">
        <f t="shared" si="5"/>
        <v>0.007862794241</v>
      </c>
      <c r="E75" s="3">
        <f t="shared" si="3"/>
        <v>0.0079</v>
      </c>
      <c r="F75" s="104">
        <f t="shared" si="6"/>
        <v>69</v>
      </c>
      <c r="G75" s="107">
        <v>2038.1</v>
      </c>
      <c r="H75" s="104">
        <f t="shared" si="7"/>
        <v>69</v>
      </c>
      <c r="I75" s="104" t="s">
        <v>129</v>
      </c>
      <c r="J75" s="104">
        <f t="shared" si="8"/>
        <v>69</v>
      </c>
      <c r="K75" s="108">
        <v>-0.0022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4"/>
        <v>39</v>
      </c>
      <c r="B76" s="101" t="str">
        <f t="shared" si="1"/>
        <v>Jan 31, 2024</v>
      </c>
      <c r="C76" s="102">
        <f t="shared" si="2"/>
        <v>2067.4</v>
      </c>
      <c r="D76" s="3">
        <f t="shared" si="5"/>
        <v>0.008045248428</v>
      </c>
      <c r="E76" s="3">
        <f t="shared" si="3"/>
        <v>0.008</v>
      </c>
      <c r="F76" s="104">
        <f t="shared" si="6"/>
        <v>70</v>
      </c>
      <c r="G76" s="105">
        <v>2042.6</v>
      </c>
      <c r="H76" s="104">
        <f t="shared" si="7"/>
        <v>70</v>
      </c>
      <c r="I76" s="104" t="s">
        <v>130</v>
      </c>
      <c r="J76" s="104">
        <f t="shared" si="8"/>
        <v>70</v>
      </c>
      <c r="K76" s="106">
        <v>0.0058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4"/>
        <v>38</v>
      </c>
      <c r="B77" s="101" t="str">
        <f t="shared" si="1"/>
        <v>Feb 01, 2024</v>
      </c>
      <c r="C77" s="102">
        <f t="shared" si="2"/>
        <v>2071.1</v>
      </c>
      <c r="D77" s="3">
        <f t="shared" si="5"/>
        <v>0.00178968753</v>
      </c>
      <c r="E77" s="3">
        <f t="shared" si="3"/>
        <v>0.0018</v>
      </c>
      <c r="F77" s="104">
        <f t="shared" si="6"/>
        <v>71</v>
      </c>
      <c r="G77" s="105">
        <v>2030.9</v>
      </c>
      <c r="H77" s="104">
        <f t="shared" si="7"/>
        <v>71</v>
      </c>
      <c r="I77" s="104" t="s">
        <v>131</v>
      </c>
      <c r="J77" s="104">
        <f t="shared" si="8"/>
        <v>71</v>
      </c>
      <c r="K77" s="106">
        <v>0.0024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4"/>
        <v>37</v>
      </c>
      <c r="B78" s="101" t="str">
        <f t="shared" si="1"/>
        <v>Feb 02, 2024</v>
      </c>
      <c r="C78" s="102">
        <f t="shared" si="2"/>
        <v>2053.7</v>
      </c>
      <c r="D78" s="3">
        <f t="shared" si="5"/>
        <v>-0.008401332625</v>
      </c>
      <c r="E78" s="3">
        <f t="shared" si="3"/>
        <v>-0.0084</v>
      </c>
      <c r="F78" s="104">
        <f t="shared" si="6"/>
        <v>72</v>
      </c>
      <c r="G78" s="107">
        <v>2026.0</v>
      </c>
      <c r="H78" s="104">
        <f t="shared" si="7"/>
        <v>72</v>
      </c>
      <c r="I78" s="104" t="s">
        <v>132</v>
      </c>
      <c r="J78" s="104">
        <f t="shared" si="8"/>
        <v>72</v>
      </c>
      <c r="K78" s="108">
        <v>-0.0045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4"/>
        <v>36</v>
      </c>
      <c r="B79" s="101" t="str">
        <f t="shared" si="1"/>
        <v>Feb 05, 2024</v>
      </c>
      <c r="C79" s="102">
        <f t="shared" si="2"/>
        <v>2042.9</v>
      </c>
      <c r="D79" s="3">
        <f t="shared" si="5"/>
        <v>-0.005258801188</v>
      </c>
      <c r="E79" s="3">
        <f t="shared" si="3"/>
        <v>-0.0053</v>
      </c>
      <c r="F79" s="104">
        <f t="shared" si="6"/>
        <v>73</v>
      </c>
      <c r="G79" s="105">
        <v>2035.2</v>
      </c>
      <c r="H79" s="104">
        <f t="shared" si="7"/>
        <v>73</v>
      </c>
      <c r="I79" s="104" t="s">
        <v>133</v>
      </c>
      <c r="J79" s="104">
        <f t="shared" si="8"/>
        <v>73</v>
      </c>
      <c r="K79" s="106">
        <v>0.0237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4"/>
        <v>35</v>
      </c>
      <c r="B80" s="101" t="str">
        <f t="shared" si="1"/>
        <v>Feb 06, 2024</v>
      </c>
      <c r="C80" s="102">
        <f t="shared" si="2"/>
        <v>2051.4</v>
      </c>
      <c r="D80" s="3">
        <f t="shared" si="5"/>
        <v>0.004160751872</v>
      </c>
      <c r="E80" s="3">
        <f t="shared" si="3"/>
        <v>0.0042</v>
      </c>
      <c r="F80" s="104">
        <f t="shared" si="6"/>
        <v>74</v>
      </c>
      <c r="G80" s="105">
        <v>1988.1</v>
      </c>
      <c r="H80" s="104">
        <f t="shared" si="7"/>
        <v>74</v>
      </c>
      <c r="I80" s="104" t="s">
        <v>134</v>
      </c>
      <c r="J80" s="104">
        <f t="shared" si="8"/>
        <v>74</v>
      </c>
      <c r="K80" s="106">
        <v>0.0021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4"/>
        <v>34</v>
      </c>
      <c r="B81" s="101" t="str">
        <f t="shared" si="1"/>
        <v>Feb 07, 2024</v>
      </c>
      <c r="C81" s="102">
        <f t="shared" si="2"/>
        <v>2051.7</v>
      </c>
      <c r="D81" s="3">
        <f t="shared" si="5"/>
        <v>0.0001462415911</v>
      </c>
      <c r="E81" s="3">
        <f t="shared" si="3"/>
        <v>0.0001</v>
      </c>
      <c r="F81" s="104">
        <f t="shared" si="6"/>
        <v>75</v>
      </c>
      <c r="G81" s="107">
        <v>1983.9</v>
      </c>
      <c r="H81" s="104">
        <f t="shared" si="7"/>
        <v>75</v>
      </c>
      <c r="I81" s="104" t="s">
        <v>135</v>
      </c>
      <c r="J81" s="104">
        <f t="shared" si="8"/>
        <v>75</v>
      </c>
      <c r="K81" s="108">
        <v>-0.0049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4"/>
        <v>33</v>
      </c>
      <c r="B82" s="101" t="str">
        <f t="shared" si="1"/>
        <v>Feb 08, 2024</v>
      </c>
      <c r="C82" s="102">
        <f t="shared" si="2"/>
        <v>2047.9</v>
      </c>
      <c r="D82" s="3">
        <f t="shared" si="5"/>
        <v>-0.00185212263</v>
      </c>
      <c r="E82" s="3">
        <f t="shared" si="3"/>
        <v>-0.0019</v>
      </c>
      <c r="F82" s="104">
        <f t="shared" si="6"/>
        <v>76</v>
      </c>
      <c r="G82" s="107">
        <v>1993.7</v>
      </c>
      <c r="H82" s="104">
        <f t="shared" si="7"/>
        <v>76</v>
      </c>
      <c r="I82" s="104" t="s">
        <v>136</v>
      </c>
      <c r="J82" s="104">
        <f t="shared" si="8"/>
        <v>76</v>
      </c>
      <c r="K82" s="108">
        <v>-0.0103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4"/>
        <v>32</v>
      </c>
      <c r="B83" s="101" t="str">
        <f t="shared" si="1"/>
        <v>Feb 09, 2024</v>
      </c>
      <c r="C83" s="102">
        <f t="shared" si="2"/>
        <v>2038.7</v>
      </c>
      <c r="D83" s="3">
        <f t="shared" si="5"/>
        <v>-0.004492406856</v>
      </c>
      <c r="E83" s="3">
        <f t="shared" si="3"/>
        <v>-0.0045</v>
      </c>
      <c r="F83" s="104">
        <f t="shared" si="6"/>
        <v>77</v>
      </c>
      <c r="G83" s="107">
        <v>2014.5</v>
      </c>
      <c r="H83" s="104">
        <f t="shared" si="7"/>
        <v>77</v>
      </c>
      <c r="I83" s="104" t="s">
        <v>137</v>
      </c>
      <c r="J83" s="104">
        <f t="shared" si="8"/>
        <v>77</v>
      </c>
      <c r="K83" s="108">
        <v>-0.0156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4"/>
        <v>31</v>
      </c>
      <c r="B84" s="101" t="str">
        <f t="shared" si="1"/>
        <v>Feb 12, 2024</v>
      </c>
      <c r="C84" s="102">
        <f t="shared" si="2"/>
        <v>2033</v>
      </c>
      <c r="D84" s="3">
        <f t="shared" si="5"/>
        <v>-0.002795899348</v>
      </c>
      <c r="E84" s="3">
        <f t="shared" si="3"/>
        <v>-0.0028</v>
      </c>
      <c r="F84" s="104">
        <f t="shared" si="6"/>
        <v>78</v>
      </c>
      <c r="G84" s="107">
        <v>2046.4</v>
      </c>
      <c r="H84" s="104">
        <f t="shared" si="7"/>
        <v>78</v>
      </c>
      <c r="I84" s="104" t="s">
        <v>138</v>
      </c>
      <c r="J84" s="104">
        <f t="shared" si="8"/>
        <v>78</v>
      </c>
      <c r="K84" s="108">
        <v>-7.0E-4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4"/>
        <v>30</v>
      </c>
      <c r="B85" s="101" t="str">
        <f t="shared" si="1"/>
        <v>Feb 13, 2024</v>
      </c>
      <c r="C85" s="102">
        <f t="shared" si="2"/>
        <v>2007.2</v>
      </c>
      <c r="D85" s="3">
        <f t="shared" si="5"/>
        <v>-0.01269060502</v>
      </c>
      <c r="E85" s="3">
        <f t="shared" si="3"/>
        <v>-0.0127</v>
      </c>
      <c r="F85" s="104">
        <f t="shared" si="6"/>
        <v>79</v>
      </c>
      <c r="G85" s="105">
        <v>2047.9</v>
      </c>
      <c r="H85" s="104">
        <f t="shared" si="7"/>
        <v>79</v>
      </c>
      <c r="I85" s="104" t="s">
        <v>139</v>
      </c>
      <c r="J85" s="104">
        <f t="shared" si="8"/>
        <v>79</v>
      </c>
      <c r="K85" s="106">
        <v>0.0057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4"/>
        <v>29</v>
      </c>
      <c r="B86" s="101" t="str">
        <f t="shared" si="1"/>
        <v>Feb 15, 2024</v>
      </c>
      <c r="C86" s="102">
        <f t="shared" si="2"/>
        <v>2014.9</v>
      </c>
      <c r="D86" s="3">
        <f t="shared" si="5"/>
        <v>0.003836189717</v>
      </c>
      <c r="E86" s="3">
        <f t="shared" si="3"/>
        <v>0.0038</v>
      </c>
      <c r="F86" s="104">
        <f t="shared" si="6"/>
        <v>80</v>
      </c>
      <c r="G86" s="107">
        <v>2036.3</v>
      </c>
      <c r="H86" s="104">
        <f t="shared" si="7"/>
        <v>80</v>
      </c>
      <c r="I86" s="104" t="s">
        <v>140</v>
      </c>
      <c r="J86" s="104">
        <f t="shared" si="8"/>
        <v>80</v>
      </c>
      <c r="K86" s="108">
        <v>-0.0029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4"/>
        <v>28</v>
      </c>
      <c r="B87" s="101" t="str">
        <f t="shared" si="1"/>
        <v>Feb 16, 2024</v>
      </c>
      <c r="C87" s="102">
        <f t="shared" si="2"/>
        <v>2024.1</v>
      </c>
      <c r="D87" s="3">
        <f t="shared" si="5"/>
        <v>0.004565983423</v>
      </c>
      <c r="E87" s="3">
        <f t="shared" si="3"/>
        <v>0.0046</v>
      </c>
      <c r="F87" s="104">
        <f t="shared" si="6"/>
        <v>81</v>
      </c>
      <c r="G87" s="107">
        <v>2042.2</v>
      </c>
      <c r="H87" s="104">
        <f t="shared" si="7"/>
        <v>81</v>
      </c>
      <c r="I87" s="104" t="s">
        <v>141</v>
      </c>
      <c r="J87" s="104">
        <f t="shared" si="8"/>
        <v>81</v>
      </c>
      <c r="K87" s="108">
        <v>-0.0227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4"/>
        <v>27</v>
      </c>
      <c r="B88" s="101" t="str">
        <f t="shared" si="1"/>
        <v>Feb 19, 2024</v>
      </c>
      <c r="C88" s="102">
        <f t="shared" si="2"/>
        <v>2027.5</v>
      </c>
      <c r="D88" s="3">
        <f t="shared" si="5"/>
        <v>0.001679758905</v>
      </c>
      <c r="E88" s="3">
        <f t="shared" si="3"/>
        <v>0.0017</v>
      </c>
      <c r="F88" s="104">
        <f t="shared" si="6"/>
        <v>82</v>
      </c>
      <c r="G88" s="105">
        <v>2089.7</v>
      </c>
      <c r="H88" s="104">
        <f t="shared" si="7"/>
        <v>82</v>
      </c>
      <c r="I88" s="104" t="s">
        <v>142</v>
      </c>
      <c r="J88" s="104">
        <f t="shared" si="8"/>
        <v>82</v>
      </c>
      <c r="K88" s="106">
        <v>0.0158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4"/>
        <v>26</v>
      </c>
      <c r="B89" s="101" t="str">
        <f t="shared" si="1"/>
        <v>Feb 20, 2024</v>
      </c>
      <c r="C89" s="102">
        <f t="shared" si="2"/>
        <v>2039.8</v>
      </c>
      <c r="D89" s="3">
        <f t="shared" si="5"/>
        <v>0.006066584464</v>
      </c>
      <c r="E89" s="3">
        <f t="shared" si="3"/>
        <v>0.0061</v>
      </c>
      <c r="F89" s="104">
        <f t="shared" si="6"/>
        <v>83</v>
      </c>
      <c r="G89" s="107">
        <v>2057.2</v>
      </c>
      <c r="H89" s="104">
        <f t="shared" si="7"/>
        <v>83</v>
      </c>
      <c r="I89" s="104" t="s">
        <v>143</v>
      </c>
      <c r="J89" s="104">
        <f t="shared" si="8"/>
        <v>83</v>
      </c>
      <c r="K89" s="108">
        <v>-0.0048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4"/>
        <v>25</v>
      </c>
      <c r="B90" s="101" t="str">
        <f t="shared" si="1"/>
        <v>Feb 21, 2024</v>
      </c>
      <c r="C90" s="102">
        <f t="shared" si="2"/>
        <v>2034.3</v>
      </c>
      <c r="D90" s="3">
        <f t="shared" si="5"/>
        <v>-0.002696342779</v>
      </c>
      <c r="E90" s="3">
        <f t="shared" si="3"/>
        <v>-0.0027</v>
      </c>
      <c r="F90" s="104">
        <f t="shared" si="6"/>
        <v>84</v>
      </c>
      <c r="G90" s="105">
        <v>2067.1</v>
      </c>
      <c r="H90" s="104">
        <f t="shared" si="7"/>
        <v>84</v>
      </c>
      <c r="I90" s="104" t="s">
        <v>144</v>
      </c>
      <c r="J90" s="104">
        <f t="shared" si="8"/>
        <v>84</v>
      </c>
      <c r="K90" s="106">
        <v>0.0081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4"/>
        <v>24</v>
      </c>
      <c r="B91" s="101" t="str">
        <f t="shared" si="1"/>
        <v>Feb 22, 2024</v>
      </c>
      <c r="C91" s="102">
        <f t="shared" si="2"/>
        <v>2030.7</v>
      </c>
      <c r="D91" s="3">
        <f t="shared" si="5"/>
        <v>-0.001769650494</v>
      </c>
      <c r="E91" s="3">
        <f t="shared" si="3"/>
        <v>-0.0018</v>
      </c>
      <c r="F91" s="104">
        <f t="shared" si="6"/>
        <v>85</v>
      </c>
      <c r="G91" s="105">
        <v>2050.5</v>
      </c>
      <c r="H91" s="104">
        <f t="shared" si="7"/>
        <v>85</v>
      </c>
      <c r="I91" s="104" t="s">
        <v>145</v>
      </c>
      <c r="J91" s="104">
        <f t="shared" si="8"/>
        <v>85</v>
      </c>
      <c r="K91" s="106">
        <v>0.0135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4"/>
        <v>23</v>
      </c>
      <c r="B92" s="101" t="str">
        <f t="shared" si="1"/>
        <v>Feb 23, 2024</v>
      </c>
      <c r="C92" s="102">
        <f t="shared" si="2"/>
        <v>2039.4</v>
      </c>
      <c r="D92" s="3">
        <f t="shared" si="5"/>
        <v>0.004284236963</v>
      </c>
      <c r="E92" s="3">
        <f t="shared" si="3"/>
        <v>0.0043</v>
      </c>
      <c r="F92" s="104">
        <f t="shared" si="6"/>
        <v>86</v>
      </c>
      <c r="G92" s="105">
        <v>2023.1</v>
      </c>
      <c r="H92" s="104">
        <f t="shared" si="7"/>
        <v>86</v>
      </c>
      <c r="I92" s="104" t="s">
        <v>178</v>
      </c>
      <c r="J92" s="104">
        <f t="shared" si="8"/>
        <v>86</v>
      </c>
      <c r="K92" s="106">
        <v>0.0047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4"/>
        <v>22</v>
      </c>
      <c r="B93" s="101" t="str">
        <f t="shared" si="1"/>
        <v>Feb 26, 2024</v>
      </c>
      <c r="C93" s="102">
        <f t="shared" si="2"/>
        <v>2029.1</v>
      </c>
      <c r="D93" s="3">
        <f t="shared" si="5"/>
        <v>-0.005050505051</v>
      </c>
      <c r="E93" s="3">
        <f t="shared" si="3"/>
        <v>-0.0051</v>
      </c>
      <c r="F93" s="104">
        <f t="shared" si="6"/>
        <v>87</v>
      </c>
      <c r="G93" s="105">
        <v>2013.7</v>
      </c>
      <c r="H93" s="104">
        <f t="shared" si="7"/>
        <v>87</v>
      </c>
      <c r="I93" s="104" t="s">
        <v>146</v>
      </c>
      <c r="J93" s="104">
        <f t="shared" si="8"/>
        <v>87</v>
      </c>
      <c r="K93" s="106">
        <v>0.0095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4"/>
        <v>21</v>
      </c>
      <c r="B94" s="101" t="str">
        <f t="shared" si="1"/>
        <v>Feb 27, 2024</v>
      </c>
      <c r="C94" s="102">
        <f t="shared" si="2"/>
        <v>2034.4</v>
      </c>
      <c r="D94" s="3">
        <f t="shared" si="5"/>
        <v>0.002611995466</v>
      </c>
      <c r="E94" s="3">
        <f t="shared" si="3"/>
        <v>0.0026</v>
      </c>
      <c r="F94" s="104">
        <f t="shared" si="6"/>
        <v>88</v>
      </c>
      <c r="G94" s="107">
        <v>1994.75</v>
      </c>
      <c r="H94" s="104">
        <f t="shared" si="7"/>
        <v>88</v>
      </c>
      <c r="I94" s="104" t="s">
        <v>147</v>
      </c>
      <c r="J94" s="104">
        <f t="shared" si="8"/>
        <v>88</v>
      </c>
      <c r="K94" s="108">
        <v>-0.0043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4"/>
        <v>20</v>
      </c>
      <c r="B95" s="101" t="str">
        <f t="shared" si="1"/>
        <v>Feb 28, 2024</v>
      </c>
      <c r="C95" s="102">
        <f t="shared" si="2"/>
        <v>2042.7</v>
      </c>
      <c r="D95" s="3">
        <f t="shared" si="5"/>
        <v>0.004079826976</v>
      </c>
      <c r="E95" s="3">
        <f t="shared" si="3"/>
        <v>0.0041</v>
      </c>
      <c r="F95" s="104">
        <f t="shared" si="6"/>
        <v>89</v>
      </c>
      <c r="G95" s="107">
        <v>2003.4</v>
      </c>
      <c r="H95" s="104">
        <f t="shared" si="7"/>
        <v>89</v>
      </c>
      <c r="I95" s="104" t="s">
        <v>148</v>
      </c>
      <c r="J95" s="104">
        <f t="shared" si="8"/>
        <v>89</v>
      </c>
      <c r="K95" s="108">
        <v>-0.0043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4"/>
        <v>19</v>
      </c>
      <c r="B96" s="101" t="str">
        <f t="shared" si="1"/>
        <v>Feb 29, 2024</v>
      </c>
      <c r="C96" s="102">
        <f t="shared" si="2"/>
        <v>2054.7</v>
      </c>
      <c r="D96" s="3">
        <f t="shared" si="5"/>
        <v>0.005874577765</v>
      </c>
      <c r="E96" s="3">
        <f t="shared" si="3"/>
        <v>0.0059</v>
      </c>
      <c r="F96" s="104">
        <f t="shared" si="6"/>
        <v>90</v>
      </c>
      <c r="G96" s="105">
        <v>2012.0</v>
      </c>
      <c r="H96" s="104">
        <f t="shared" si="7"/>
        <v>90</v>
      </c>
      <c r="I96" s="104" t="s">
        <v>149</v>
      </c>
      <c r="J96" s="104">
        <f t="shared" si="8"/>
        <v>90</v>
      </c>
      <c r="K96" s="106">
        <v>0.0107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4"/>
        <v>18</v>
      </c>
      <c r="B97" s="101" t="str">
        <f t="shared" si="1"/>
        <v>Mar 01, 2024</v>
      </c>
      <c r="C97" s="102">
        <f t="shared" si="2"/>
        <v>2095.7</v>
      </c>
      <c r="D97" s="3">
        <f t="shared" si="5"/>
        <v>0.01995425123</v>
      </c>
      <c r="E97" s="3">
        <f t="shared" si="3"/>
        <v>0.02</v>
      </c>
      <c r="F97" s="104">
        <f t="shared" si="6"/>
        <v>91</v>
      </c>
      <c r="G97" s="105">
        <v>1990.7</v>
      </c>
      <c r="H97" s="104">
        <f t="shared" si="7"/>
        <v>91</v>
      </c>
      <c r="I97" s="104" t="s">
        <v>150</v>
      </c>
      <c r="J97" s="104">
        <f t="shared" si="8"/>
        <v>91</v>
      </c>
      <c r="K97" s="106">
        <v>0.003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4"/>
        <v>17</v>
      </c>
      <c r="B98" s="101" t="str">
        <f t="shared" si="1"/>
        <v>Mar 04, 2024</v>
      </c>
      <c r="C98" s="102">
        <f t="shared" si="2"/>
        <v>2126.3</v>
      </c>
      <c r="D98" s="3">
        <f t="shared" si="5"/>
        <v>0.01460132653</v>
      </c>
      <c r="E98" s="3">
        <f t="shared" si="3"/>
        <v>0.0146</v>
      </c>
      <c r="F98" s="104">
        <f t="shared" si="6"/>
        <v>92</v>
      </c>
      <c r="G98" s="107">
        <v>1984.7</v>
      </c>
      <c r="H98" s="104">
        <f t="shared" si="7"/>
        <v>92</v>
      </c>
      <c r="I98" s="104" t="s">
        <v>151</v>
      </c>
      <c r="J98" s="104">
        <f t="shared" si="8"/>
        <v>92</v>
      </c>
      <c r="K98" s="108">
        <v>-0.0013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4"/>
        <v>16</v>
      </c>
      <c r="B99" s="101" t="str">
        <f t="shared" si="1"/>
        <v>Mar 05, 2024</v>
      </c>
      <c r="C99" s="102">
        <f t="shared" si="2"/>
        <v>2141.9</v>
      </c>
      <c r="D99" s="3">
        <f t="shared" si="5"/>
        <v>0.007336688144</v>
      </c>
      <c r="E99" s="3">
        <f t="shared" si="3"/>
        <v>0.0073</v>
      </c>
      <c r="F99" s="104">
        <f t="shared" si="6"/>
        <v>93</v>
      </c>
      <c r="G99" s="105">
        <v>1987.3</v>
      </c>
      <c r="H99" s="104">
        <f t="shared" si="7"/>
        <v>93</v>
      </c>
      <c r="I99" s="104" t="s">
        <v>152</v>
      </c>
      <c r="J99" s="104">
        <f t="shared" si="8"/>
        <v>93</v>
      </c>
      <c r="K99" s="106">
        <v>0.0117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4"/>
        <v>15</v>
      </c>
      <c r="B100" s="101" t="str">
        <f t="shared" si="1"/>
        <v>Mar 06, 2024</v>
      </c>
      <c r="C100" s="102">
        <f t="shared" si="2"/>
        <v>2158.2</v>
      </c>
      <c r="D100" s="3">
        <f t="shared" si="5"/>
        <v>0.007610065829</v>
      </c>
      <c r="E100" s="3">
        <f t="shared" si="3"/>
        <v>0.0076</v>
      </c>
      <c r="F100" s="104">
        <f t="shared" si="6"/>
        <v>94</v>
      </c>
      <c r="G100" s="107">
        <v>1964.3</v>
      </c>
      <c r="H100" s="104">
        <f t="shared" si="7"/>
        <v>94</v>
      </c>
      <c r="I100" s="104" t="s">
        <v>153</v>
      </c>
      <c r="J100" s="104">
        <f t="shared" si="8"/>
        <v>94</v>
      </c>
      <c r="K100" s="108">
        <v>-0.0011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4"/>
        <v>14</v>
      </c>
      <c r="B101" s="101" t="str">
        <f t="shared" si="1"/>
        <v>Mar 07, 2024</v>
      </c>
      <c r="C101" s="102">
        <f t="shared" si="2"/>
        <v>2165.2</v>
      </c>
      <c r="D101" s="3">
        <f t="shared" si="5"/>
        <v>0.00324344361</v>
      </c>
      <c r="E101" s="3">
        <f t="shared" si="3"/>
        <v>0.0032</v>
      </c>
      <c r="F101" s="104">
        <f t="shared" si="6"/>
        <v>95</v>
      </c>
      <c r="G101" s="105">
        <v>1966.5</v>
      </c>
      <c r="H101" s="104">
        <f t="shared" si="7"/>
        <v>95</v>
      </c>
      <c r="I101" s="104" t="s">
        <v>179</v>
      </c>
      <c r="J101" s="104">
        <f t="shared" si="8"/>
        <v>95</v>
      </c>
      <c r="K101" s="106">
        <v>0.0084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4"/>
        <v>13</v>
      </c>
      <c r="B102" s="101" t="str">
        <f t="shared" si="1"/>
        <v>Mar 08, 2024</v>
      </c>
      <c r="C102" s="102">
        <f t="shared" si="2"/>
        <v>2185.5</v>
      </c>
      <c r="D102" s="3">
        <f t="shared" si="5"/>
        <v>0.009375577314</v>
      </c>
      <c r="E102" s="3">
        <f t="shared" si="3"/>
        <v>0.0094</v>
      </c>
      <c r="F102" s="104">
        <f t="shared" si="6"/>
        <v>96</v>
      </c>
      <c r="G102" s="105">
        <v>1950.2</v>
      </c>
      <c r="H102" s="104">
        <f t="shared" si="7"/>
        <v>96</v>
      </c>
      <c r="I102" s="104" t="s">
        <v>154</v>
      </c>
      <c r="J102" s="104">
        <f t="shared" si="8"/>
        <v>96</v>
      </c>
      <c r="K102" s="106">
        <v>0.0065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4"/>
        <v>12</v>
      </c>
      <c r="B103" s="101" t="str">
        <f t="shared" si="1"/>
        <v>Mar 11, 2024</v>
      </c>
      <c r="C103" s="102">
        <f t="shared" si="2"/>
        <v>2188.6</v>
      </c>
      <c r="D103" s="3">
        <f t="shared" si="5"/>
        <v>0.001418439716</v>
      </c>
      <c r="E103" s="3">
        <f t="shared" si="3"/>
        <v>0.0014</v>
      </c>
      <c r="F103" s="104">
        <f t="shared" si="6"/>
        <v>97</v>
      </c>
      <c r="G103" s="107">
        <v>1937.7</v>
      </c>
      <c r="H103" s="104">
        <f t="shared" si="7"/>
        <v>97</v>
      </c>
      <c r="I103" s="104" t="s">
        <v>155</v>
      </c>
      <c r="J103" s="104">
        <f t="shared" si="8"/>
        <v>97</v>
      </c>
      <c r="K103" s="108">
        <v>-0.0163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4"/>
        <v>11</v>
      </c>
      <c r="B104" s="101" t="str">
        <f t="shared" si="1"/>
        <v>Mar 12, 2024</v>
      </c>
      <c r="C104" s="102">
        <f t="shared" si="2"/>
        <v>2166.1</v>
      </c>
      <c r="D104" s="3">
        <f t="shared" si="5"/>
        <v>-0.01028054464</v>
      </c>
      <c r="E104" s="3">
        <f t="shared" si="3"/>
        <v>-0.0103</v>
      </c>
      <c r="F104" s="104">
        <f t="shared" si="6"/>
        <v>98</v>
      </c>
      <c r="G104" s="105">
        <v>1969.8</v>
      </c>
      <c r="H104" s="104">
        <f t="shared" si="7"/>
        <v>98</v>
      </c>
      <c r="I104" s="104" t="s">
        <v>156</v>
      </c>
      <c r="J104" s="104">
        <f t="shared" si="8"/>
        <v>98</v>
      </c>
      <c r="K104" s="106">
        <v>0.0061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4"/>
        <v>10</v>
      </c>
      <c r="B105" s="101" t="str">
        <f t="shared" si="1"/>
        <v>Mar 13, 2024</v>
      </c>
      <c r="C105" s="102">
        <f t="shared" si="2"/>
        <v>2180.8</v>
      </c>
      <c r="D105" s="3">
        <f t="shared" si="5"/>
        <v>0.006786390287</v>
      </c>
      <c r="E105" s="3">
        <f t="shared" si="3"/>
        <v>0.0068</v>
      </c>
      <c r="F105" s="104">
        <f t="shared" si="6"/>
        <v>99</v>
      </c>
      <c r="G105" s="107">
        <v>1957.8</v>
      </c>
      <c r="H105" s="104">
        <f t="shared" si="7"/>
        <v>99</v>
      </c>
      <c r="I105" s="104" t="s">
        <v>157</v>
      </c>
      <c r="J105" s="104">
        <f t="shared" si="8"/>
        <v>99</v>
      </c>
      <c r="K105" s="108">
        <v>-0.008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4"/>
        <v>9</v>
      </c>
      <c r="B106" s="101" t="str">
        <f t="shared" si="1"/>
        <v>Mar 14, 2024</v>
      </c>
      <c r="C106" s="102">
        <f t="shared" si="2"/>
        <v>2167.5</v>
      </c>
      <c r="D106" s="3">
        <f t="shared" si="5"/>
        <v>-0.006098679384</v>
      </c>
      <c r="E106" s="3">
        <f t="shared" si="3"/>
        <v>-0.0061</v>
      </c>
      <c r="F106" s="104">
        <f t="shared" si="6"/>
        <v>100</v>
      </c>
      <c r="G106" s="107">
        <v>1973.5</v>
      </c>
      <c r="H106" s="104">
        <f t="shared" si="7"/>
        <v>100</v>
      </c>
      <c r="I106" s="104" t="s">
        <v>158</v>
      </c>
      <c r="J106" s="104">
        <f t="shared" si="8"/>
        <v>100</v>
      </c>
      <c r="K106" s="108">
        <v>-0.0076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 t="shared" si="4"/>
        <v>8</v>
      </c>
      <c r="B107" s="101" t="str">
        <f t="shared" si="1"/>
        <v>Mar 15, 2024</v>
      </c>
      <c r="C107" s="102">
        <f t="shared" si="2"/>
        <v>2161.5</v>
      </c>
      <c r="D107" s="3">
        <f t="shared" si="5"/>
        <v>-0.00276816609</v>
      </c>
      <c r="E107" s="3">
        <f t="shared" si="3"/>
        <v>-0.0028</v>
      </c>
      <c r="F107" s="104">
        <f t="shared" si="6"/>
        <v>101</v>
      </c>
      <c r="G107" s="107">
        <v>1988.6</v>
      </c>
      <c r="H107" s="104">
        <f t="shared" si="7"/>
        <v>101</v>
      </c>
      <c r="I107" s="104" t="s">
        <v>159</v>
      </c>
      <c r="J107" s="104">
        <f t="shared" si="8"/>
        <v>101</v>
      </c>
      <c r="K107" s="108">
        <v>-0.0053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f t="shared" si="4"/>
        <v>7</v>
      </c>
      <c r="B108" s="101" t="str">
        <f t="shared" si="1"/>
        <v>Mar 18, 2024</v>
      </c>
      <c r="C108" s="102">
        <f t="shared" si="2"/>
        <v>2164.3</v>
      </c>
      <c r="D108" s="3">
        <f t="shared" si="5"/>
        <v>0.001295396715</v>
      </c>
      <c r="E108" s="3">
        <f t="shared" si="3"/>
        <v>0.0013</v>
      </c>
      <c r="F108" s="104">
        <f t="shared" si="6"/>
        <v>102</v>
      </c>
      <c r="G108" s="105">
        <v>1999.2</v>
      </c>
      <c r="H108" s="104">
        <f t="shared" si="7"/>
        <v>102</v>
      </c>
      <c r="I108" s="104" t="s">
        <v>160</v>
      </c>
      <c r="J108" s="104">
        <f t="shared" si="8"/>
        <v>102</v>
      </c>
      <c r="K108" s="106">
        <v>0.0029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f t="shared" si="4"/>
        <v>6</v>
      </c>
      <c r="B109" s="101" t="str">
        <f t="shared" si="1"/>
        <v>Mar 19, 2024</v>
      </c>
      <c r="C109" s="102">
        <f t="shared" si="2"/>
        <v>2159.7</v>
      </c>
      <c r="D109" s="3">
        <f t="shared" si="5"/>
        <v>-0.002125398512</v>
      </c>
      <c r="E109" s="3">
        <f t="shared" si="3"/>
        <v>-0.0021</v>
      </c>
      <c r="F109" s="104">
        <f t="shared" si="6"/>
        <v>103</v>
      </c>
      <c r="G109" s="105">
        <v>1993.5</v>
      </c>
      <c r="H109" s="104">
        <f t="shared" si="7"/>
        <v>103</v>
      </c>
      <c r="I109" s="104" t="s">
        <v>161</v>
      </c>
      <c r="J109" s="104">
        <f t="shared" si="8"/>
        <v>103</v>
      </c>
      <c r="K109" s="106">
        <v>0.003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>
        <f t="shared" si="4"/>
        <v>5</v>
      </c>
      <c r="B110" s="101" t="str">
        <f t="shared" si="1"/>
        <v>Mar 20, 2024</v>
      </c>
      <c r="C110" s="102">
        <f t="shared" si="2"/>
        <v>2161</v>
      </c>
      <c r="D110" s="3">
        <f t="shared" si="5"/>
        <v>0.000601935454</v>
      </c>
      <c r="E110" s="3">
        <f t="shared" si="3"/>
        <v>0.0006</v>
      </c>
      <c r="F110" s="104">
        <f t="shared" si="6"/>
        <v>104</v>
      </c>
      <c r="G110" s="107">
        <v>1987.5</v>
      </c>
      <c r="H110" s="104">
        <f t="shared" si="7"/>
        <v>104</v>
      </c>
      <c r="I110" s="104" t="s">
        <v>162</v>
      </c>
      <c r="J110" s="104">
        <f t="shared" si="8"/>
        <v>104</v>
      </c>
      <c r="K110" s="108">
        <v>-0.0034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>
        <f t="shared" si="4"/>
        <v>4</v>
      </c>
      <c r="B111" s="101" t="str">
        <f t="shared" si="1"/>
        <v>Mar 21, 2024</v>
      </c>
      <c r="C111" s="102">
        <f t="shared" si="2"/>
        <v>2184.7</v>
      </c>
      <c r="D111" s="3">
        <f t="shared" si="5"/>
        <v>0.01096714484</v>
      </c>
      <c r="E111" s="3">
        <f t="shared" si="3"/>
        <v>0.011</v>
      </c>
      <c r="F111" s="104">
        <f t="shared" si="6"/>
        <v>105</v>
      </c>
      <c r="G111" s="107">
        <v>1994.3</v>
      </c>
      <c r="H111" s="104">
        <f t="shared" si="7"/>
        <v>105</v>
      </c>
      <c r="I111" s="104" t="s">
        <v>163</v>
      </c>
      <c r="J111" s="104">
        <f t="shared" si="8"/>
        <v>105</v>
      </c>
      <c r="K111" s="108">
        <v>-0.0056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>
        <f t="shared" si="4"/>
        <v>3</v>
      </c>
      <c r="B112" s="101" t="str">
        <f t="shared" si="1"/>
        <v>Mar 22, 2024</v>
      </c>
      <c r="C112" s="102">
        <f t="shared" si="2"/>
        <v>2160</v>
      </c>
      <c r="D112" s="3">
        <f t="shared" si="5"/>
        <v>-0.01130590012</v>
      </c>
      <c r="E112" s="3">
        <f t="shared" si="3"/>
        <v>-0.0113</v>
      </c>
      <c r="F112" s="104">
        <f t="shared" si="6"/>
        <v>106</v>
      </c>
      <c r="G112" s="105">
        <v>2005.6</v>
      </c>
      <c r="H112" s="104">
        <f t="shared" si="7"/>
        <v>106</v>
      </c>
      <c r="I112" s="104" t="s">
        <v>164</v>
      </c>
      <c r="J112" s="104">
        <f t="shared" si="8"/>
        <v>106</v>
      </c>
      <c r="K112" s="106">
        <v>0.0083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>
        <f t="shared" si="4"/>
        <v>2</v>
      </c>
      <c r="B113" s="101" t="str">
        <f t="shared" si="1"/>
        <v>Mar 25, 2024</v>
      </c>
      <c r="C113" s="102">
        <f t="shared" si="2"/>
        <v>2176.4</v>
      </c>
      <c r="D113" s="3">
        <f t="shared" si="5"/>
        <v>0.007592592593</v>
      </c>
      <c r="E113" s="3">
        <f t="shared" si="3"/>
        <v>0.0076</v>
      </c>
      <c r="F113" s="104">
        <f t="shared" si="6"/>
        <v>107</v>
      </c>
      <c r="G113" s="105">
        <v>1989.0</v>
      </c>
      <c r="H113" s="104">
        <f t="shared" si="7"/>
        <v>107</v>
      </c>
      <c r="I113" s="104" t="s">
        <v>165</v>
      </c>
      <c r="J113" s="104">
        <f t="shared" si="8"/>
        <v>107</v>
      </c>
      <c r="K113" s="106">
        <v>6.0E-4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>
        <f t="shared" si="4"/>
        <v>1</v>
      </c>
      <c r="B114" s="101" t="str">
        <f t="shared" si="1"/>
        <v>Mar 26, 2024</v>
      </c>
      <c r="C114" s="102">
        <f t="shared" si="2"/>
        <v>2178</v>
      </c>
      <c r="D114" s="3">
        <f t="shared" si="5"/>
        <v>0.0007351589781</v>
      </c>
      <c r="E114" s="3">
        <f t="shared" si="3"/>
        <v>0.0007</v>
      </c>
      <c r="F114" s="104">
        <f t="shared" si="6"/>
        <v>108</v>
      </c>
      <c r="G114" s="105">
        <v>1987.9</v>
      </c>
      <c r="H114" s="104">
        <f t="shared" si="7"/>
        <v>108</v>
      </c>
      <c r="I114" s="104" t="s">
        <v>166</v>
      </c>
      <c r="J114" s="104">
        <f t="shared" si="8"/>
        <v>108</v>
      </c>
      <c r="K114" s="106">
        <v>0.0012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9.11"/>
    <col customWidth="1" min="3" max="3" width="10.78"/>
    <col customWidth="1" min="4" max="4" width="15.33"/>
    <col customWidth="1" min="5" max="6" width="10.56"/>
    <col customWidth="1" hidden="1" min="7" max="9" width="10.56"/>
    <col customWidth="1" min="10" max="10" width="10.78"/>
    <col customWidth="1" min="11" max="26" width="10.56"/>
  </cols>
  <sheetData>
    <row r="1" ht="15.75" customHeight="1">
      <c r="A1" s="1"/>
      <c r="B1" s="1"/>
      <c r="C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09"/>
      <c r="B4" s="109" t="s">
        <v>61</v>
      </c>
      <c r="C4" s="1" t="s">
        <v>180</v>
      </c>
      <c r="D4" s="1" t="s">
        <v>181</v>
      </c>
      <c r="E4" s="1"/>
      <c r="F4" s="1"/>
      <c r="G4" s="1"/>
      <c r="H4" s="109" t="s">
        <v>182</v>
      </c>
      <c r="I4" s="109" t="s">
        <v>183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>
        <v>102.0</v>
      </c>
      <c r="B5" s="110">
        <f t="shared" ref="B5:B106" si="1">VLOOKUP(A5,$G$5:$I$106,2)</f>
        <v>45225</v>
      </c>
      <c r="C5" s="1">
        <f t="shared" ref="C5:C106" si="2">VLOOKUP(A5,$G$5:$I$106,3)</f>
        <v>60.8246</v>
      </c>
      <c r="D5" s="103" t="s">
        <v>64</v>
      </c>
      <c r="E5" s="1"/>
      <c r="F5" s="2" t="s">
        <v>51</v>
      </c>
      <c r="G5" s="1">
        <v>1.0</v>
      </c>
      <c r="H5" s="110">
        <v>45377.0</v>
      </c>
      <c r="I5" s="1">
        <v>78.0326</v>
      </c>
      <c r="J5" s="3">
        <f>AVERAGE(D6:D106)</f>
        <v>0.002511148176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f t="shared" ref="A6:A106" si="3">A5-1</f>
        <v>101</v>
      </c>
      <c r="B6" s="110">
        <f t="shared" si="1"/>
        <v>45226</v>
      </c>
      <c r="C6" s="1">
        <f t="shared" si="2"/>
        <v>61.8412</v>
      </c>
      <c r="D6" s="3">
        <f t="shared" ref="D6:D106" si="4">C6/C5-1</f>
        <v>0.01671363231</v>
      </c>
      <c r="E6" s="1"/>
      <c r="F6" s="1" t="s">
        <v>67</v>
      </c>
      <c r="G6" s="1">
        <f t="shared" ref="G6:G106" si="5">1+G5</f>
        <v>2</v>
      </c>
      <c r="H6" s="110">
        <v>45373.0</v>
      </c>
      <c r="I6" s="1">
        <v>76.7628</v>
      </c>
      <c r="J6" s="3">
        <f>STDEV(D6:D106)</f>
        <v>0.009150180276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si="3"/>
        <v>100</v>
      </c>
      <c r="B7" s="110">
        <f t="shared" si="1"/>
        <v>45229</v>
      </c>
      <c r="C7" s="1">
        <f t="shared" si="2"/>
        <v>61.9478</v>
      </c>
      <c r="D7" s="3">
        <f t="shared" si="4"/>
        <v>0.001723769914</v>
      </c>
      <c r="E7" s="1"/>
      <c r="F7" s="1"/>
      <c r="G7" s="1">
        <f t="shared" si="5"/>
        <v>3</v>
      </c>
      <c r="H7" s="110">
        <v>45372.0</v>
      </c>
      <c r="I7" s="1">
        <v>76.4568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99</v>
      </c>
      <c r="B8" s="110">
        <f t="shared" si="1"/>
        <v>45230</v>
      </c>
      <c r="C8" s="1">
        <f t="shared" si="2"/>
        <v>61.9895</v>
      </c>
      <c r="D8" s="3">
        <f t="shared" si="4"/>
        <v>0.0006731473918</v>
      </c>
      <c r="E8" s="1"/>
      <c r="F8" s="1"/>
      <c r="G8" s="1">
        <f t="shared" si="5"/>
        <v>4</v>
      </c>
      <c r="H8" s="110">
        <v>45371.0</v>
      </c>
      <c r="I8" s="1">
        <v>74.8934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98</v>
      </c>
      <c r="B9" s="110">
        <f t="shared" si="1"/>
        <v>45231</v>
      </c>
      <c r="C9" s="1">
        <f t="shared" si="2"/>
        <v>61.8079</v>
      </c>
      <c r="D9" s="3">
        <f t="shared" si="4"/>
        <v>-0.002929528388</v>
      </c>
      <c r="E9" s="1"/>
      <c r="F9" s="1"/>
      <c r="G9" s="1">
        <f t="shared" si="5"/>
        <v>5</v>
      </c>
      <c r="H9" s="110">
        <v>45370.0</v>
      </c>
      <c r="I9" s="1">
        <v>74.6398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97</v>
      </c>
      <c r="B10" s="110">
        <f t="shared" si="1"/>
        <v>45232</v>
      </c>
      <c r="C10" s="1">
        <f t="shared" si="2"/>
        <v>62.4289</v>
      </c>
      <c r="D10" s="3">
        <f t="shared" si="4"/>
        <v>0.01004725933</v>
      </c>
      <c r="E10" s="1"/>
      <c r="F10" s="1"/>
      <c r="G10" s="1">
        <f t="shared" si="5"/>
        <v>6</v>
      </c>
      <c r="H10" s="110">
        <v>45369.0</v>
      </c>
      <c r="I10" s="1">
        <v>75.15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96</v>
      </c>
      <c r="B11" s="110">
        <f t="shared" si="1"/>
        <v>45233</v>
      </c>
      <c r="C11" s="1">
        <f t="shared" si="2"/>
        <v>63.0825</v>
      </c>
      <c r="D11" s="3">
        <f t="shared" si="4"/>
        <v>0.01046951011</v>
      </c>
      <c r="E11" s="1"/>
      <c r="F11" s="1"/>
      <c r="G11" s="1">
        <f t="shared" si="5"/>
        <v>7</v>
      </c>
      <c r="H11" s="110">
        <v>45366.0</v>
      </c>
      <c r="I11" s="1">
        <v>75.8432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95</v>
      </c>
      <c r="B12" s="110">
        <f t="shared" si="1"/>
        <v>45236</v>
      </c>
      <c r="C12" s="1">
        <f t="shared" si="2"/>
        <v>63.9772</v>
      </c>
      <c r="D12" s="3">
        <f t="shared" si="4"/>
        <v>0.01418301431</v>
      </c>
      <c r="E12" s="1"/>
      <c r="F12" s="1"/>
      <c r="G12" s="1">
        <f t="shared" si="5"/>
        <v>8</v>
      </c>
      <c r="H12" s="110">
        <v>45365.0</v>
      </c>
      <c r="I12" s="1">
        <v>75.8079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94</v>
      </c>
      <c r="B13" s="110">
        <f t="shared" si="1"/>
        <v>45237</v>
      </c>
      <c r="C13" s="1">
        <f t="shared" si="2"/>
        <v>63.8623</v>
      </c>
      <c r="D13" s="3">
        <f t="shared" si="4"/>
        <v>-0.001795952308</v>
      </c>
      <c r="E13" s="1"/>
      <c r="F13" s="1"/>
      <c r="G13" s="1">
        <f t="shared" si="5"/>
        <v>9</v>
      </c>
      <c r="H13" s="110">
        <v>45364.0</v>
      </c>
      <c r="I13" s="1">
        <v>75.0565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93</v>
      </c>
      <c r="B14" s="110">
        <f t="shared" si="1"/>
        <v>45238</v>
      </c>
      <c r="C14" s="1">
        <f t="shared" si="2"/>
        <v>64.5836</v>
      </c>
      <c r="D14" s="3">
        <f t="shared" si="4"/>
        <v>0.01129461357</v>
      </c>
      <c r="E14" s="1"/>
      <c r="F14" s="1"/>
      <c r="G14" s="1">
        <f t="shared" si="5"/>
        <v>10</v>
      </c>
      <c r="H14" s="110">
        <v>45363.0</v>
      </c>
      <c r="I14" s="1">
        <v>77.0757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92</v>
      </c>
      <c r="B15" s="110">
        <f t="shared" si="1"/>
        <v>45239</v>
      </c>
      <c r="C15" s="1">
        <f t="shared" si="2"/>
        <v>64.4576</v>
      </c>
      <c r="D15" s="3">
        <f t="shared" si="4"/>
        <v>-0.001950959686</v>
      </c>
      <c r="E15" s="1"/>
      <c r="F15" s="1"/>
      <c r="G15" s="1">
        <f t="shared" si="5"/>
        <v>11</v>
      </c>
      <c r="H15" s="110">
        <v>45362.0</v>
      </c>
      <c r="I15" s="1">
        <v>77.4474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91</v>
      </c>
      <c r="B16" s="110">
        <f t="shared" si="1"/>
        <v>45240</v>
      </c>
      <c r="C16" s="1">
        <f t="shared" si="2"/>
        <v>64.8141</v>
      </c>
      <c r="D16" s="3">
        <f t="shared" si="4"/>
        <v>0.005530767512</v>
      </c>
      <c r="E16" s="1"/>
      <c r="F16" s="1"/>
      <c r="G16" s="1">
        <f t="shared" si="5"/>
        <v>12</v>
      </c>
      <c r="H16" s="110">
        <v>45358.0</v>
      </c>
      <c r="I16" s="1">
        <v>77.2109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90</v>
      </c>
      <c r="B17" s="110">
        <f t="shared" si="1"/>
        <v>45243</v>
      </c>
      <c r="C17" s="1">
        <f t="shared" si="2"/>
        <v>64.8299</v>
      </c>
      <c r="D17" s="3">
        <f t="shared" si="4"/>
        <v>0.0002437741171</v>
      </c>
      <c r="E17" s="1"/>
      <c r="F17" s="1"/>
      <c r="G17" s="1">
        <f t="shared" si="5"/>
        <v>13</v>
      </c>
      <c r="H17" s="110">
        <v>45357.0</v>
      </c>
      <c r="I17" s="1">
        <v>77.2119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89</v>
      </c>
      <c r="B18" s="110">
        <f t="shared" si="1"/>
        <v>45245</v>
      </c>
      <c r="C18" s="1">
        <f t="shared" si="2"/>
        <v>65.4652</v>
      </c>
      <c r="D18" s="3">
        <f t="shared" si="4"/>
        <v>0.009799490667</v>
      </c>
      <c r="E18" s="1"/>
      <c r="F18" s="1"/>
      <c r="G18" s="1">
        <f t="shared" si="5"/>
        <v>14</v>
      </c>
      <c r="H18" s="110">
        <v>45356.0</v>
      </c>
      <c r="I18" s="1">
        <v>76.9564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88</v>
      </c>
      <c r="B19" s="110">
        <f t="shared" si="1"/>
        <v>45246</v>
      </c>
      <c r="C19" s="1">
        <f t="shared" si="2"/>
        <v>66.634</v>
      </c>
      <c r="D19" s="3">
        <f t="shared" si="4"/>
        <v>0.01785376047</v>
      </c>
      <c r="E19" s="1"/>
      <c r="F19" s="1"/>
      <c r="G19" s="1">
        <f t="shared" si="5"/>
        <v>15</v>
      </c>
      <c r="H19" s="110">
        <v>45355.0</v>
      </c>
      <c r="I19" s="1">
        <v>77.7027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87</v>
      </c>
      <c r="B20" s="110">
        <f t="shared" si="1"/>
        <v>45247</v>
      </c>
      <c r="C20" s="1">
        <f t="shared" si="2"/>
        <v>66.2266</v>
      </c>
      <c r="D20" s="3">
        <f t="shared" si="4"/>
        <v>-0.006113995858</v>
      </c>
      <c r="E20" s="1"/>
      <c r="F20" s="1"/>
      <c r="G20" s="1">
        <f t="shared" si="5"/>
        <v>16</v>
      </c>
      <c r="H20" s="110">
        <v>45352.0</v>
      </c>
      <c r="I20" s="1">
        <v>77.587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86</v>
      </c>
      <c r="B21" s="110">
        <f t="shared" si="1"/>
        <v>45250</v>
      </c>
      <c r="C21" s="1">
        <f t="shared" si="2"/>
        <v>66.0313</v>
      </c>
      <c r="D21" s="3">
        <f t="shared" si="4"/>
        <v>-0.002948966125</v>
      </c>
      <c r="E21" s="1"/>
      <c r="F21" s="1"/>
      <c r="G21" s="1">
        <f t="shared" si="5"/>
        <v>17</v>
      </c>
      <c r="H21" s="110">
        <v>45351.0</v>
      </c>
      <c r="I21" s="1">
        <v>76.6873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85</v>
      </c>
      <c r="B22" s="110">
        <f t="shared" si="1"/>
        <v>45251</v>
      </c>
      <c r="C22" s="1">
        <f t="shared" si="2"/>
        <v>65.688</v>
      </c>
      <c r="D22" s="3">
        <f t="shared" si="4"/>
        <v>-0.005199049542</v>
      </c>
      <c r="E22" s="1"/>
      <c r="F22" s="1"/>
      <c r="G22" s="1">
        <f t="shared" si="5"/>
        <v>18</v>
      </c>
      <c r="H22" s="110">
        <v>45350.0</v>
      </c>
      <c r="I22" s="1">
        <v>76.0376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84</v>
      </c>
      <c r="B23" s="110">
        <f t="shared" si="1"/>
        <v>45252</v>
      </c>
      <c r="C23" s="1">
        <f t="shared" si="2"/>
        <v>66.5706</v>
      </c>
      <c r="D23" s="3">
        <f t="shared" si="4"/>
        <v>0.01343624406</v>
      </c>
      <c r="E23" s="1"/>
      <c r="F23" s="1"/>
      <c r="G23" s="1">
        <f t="shared" si="5"/>
        <v>19</v>
      </c>
      <c r="H23" s="110">
        <v>45349.0</v>
      </c>
      <c r="I23" s="1">
        <v>76.7766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83</v>
      </c>
      <c r="B24" s="110">
        <f t="shared" si="1"/>
        <v>45253</v>
      </c>
      <c r="C24" s="1">
        <f t="shared" si="2"/>
        <v>66.2963</v>
      </c>
      <c r="D24" s="3">
        <f t="shared" si="4"/>
        <v>-0.004120437551</v>
      </c>
      <c r="E24" s="1"/>
      <c r="F24" s="1"/>
      <c r="G24" s="1">
        <f t="shared" si="5"/>
        <v>20</v>
      </c>
      <c r="H24" s="110">
        <v>45348.0</v>
      </c>
      <c r="I24" s="1">
        <v>77.2779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82</v>
      </c>
      <c r="B25" s="110">
        <f t="shared" si="1"/>
        <v>45254</v>
      </c>
      <c r="C25" s="1">
        <f t="shared" si="2"/>
        <v>66.3472</v>
      </c>
      <c r="D25" s="3">
        <f t="shared" si="4"/>
        <v>0.0007677653202</v>
      </c>
      <c r="E25" s="1"/>
      <c r="F25" s="1"/>
      <c r="G25" s="1">
        <f t="shared" si="5"/>
        <v>21</v>
      </c>
      <c r="H25" s="110">
        <v>45345.0</v>
      </c>
      <c r="I25" s="1">
        <v>77.9793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81</v>
      </c>
      <c r="B26" s="110">
        <f t="shared" si="1"/>
        <v>45258</v>
      </c>
      <c r="C26" s="1">
        <f t="shared" si="2"/>
        <v>66.4103</v>
      </c>
      <c r="D26" s="3">
        <f t="shared" si="4"/>
        <v>0.0009510574674</v>
      </c>
      <c r="E26" s="1"/>
      <c r="F26" s="1"/>
      <c r="G26" s="1">
        <f t="shared" si="5"/>
        <v>22</v>
      </c>
      <c r="H26" s="110">
        <v>45344.0</v>
      </c>
      <c r="I26" s="1">
        <v>76.8298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80</v>
      </c>
      <c r="B27" s="110">
        <f t="shared" si="1"/>
        <v>45259</v>
      </c>
      <c r="C27" s="1">
        <f t="shared" si="2"/>
        <v>66.864</v>
      </c>
      <c r="D27" s="3">
        <f t="shared" si="4"/>
        <v>0.006831771578</v>
      </c>
      <c r="E27" s="1"/>
      <c r="F27" s="1"/>
      <c r="G27" s="1">
        <f t="shared" si="5"/>
        <v>23</v>
      </c>
      <c r="H27" s="110">
        <v>45343.0</v>
      </c>
      <c r="I27" s="1">
        <v>76.0131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79</v>
      </c>
      <c r="B28" s="110">
        <f t="shared" si="1"/>
        <v>45260</v>
      </c>
      <c r="C28" s="1">
        <f t="shared" si="2"/>
        <v>67.7392</v>
      </c>
      <c r="D28" s="3">
        <f t="shared" si="4"/>
        <v>0.0130892558</v>
      </c>
      <c r="E28" s="1"/>
      <c r="F28" s="1"/>
      <c r="G28" s="1">
        <f t="shared" si="5"/>
        <v>24</v>
      </c>
      <c r="H28" s="110">
        <v>45342.0</v>
      </c>
      <c r="I28" s="1">
        <v>76.0981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78</v>
      </c>
      <c r="B29" s="110">
        <f t="shared" si="1"/>
        <v>45261</v>
      </c>
      <c r="C29" s="1">
        <f t="shared" si="2"/>
        <v>67.8406</v>
      </c>
      <c r="D29" s="3">
        <f t="shared" si="4"/>
        <v>0.00149691759</v>
      </c>
      <c r="E29" s="1"/>
      <c r="F29" s="1"/>
      <c r="G29" s="1">
        <f t="shared" si="5"/>
        <v>25</v>
      </c>
      <c r="H29" s="110">
        <v>45341.0</v>
      </c>
      <c r="I29" s="1">
        <v>76.0508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77</v>
      </c>
      <c r="B30" s="110">
        <f t="shared" si="1"/>
        <v>45264</v>
      </c>
      <c r="C30" s="1">
        <f t="shared" si="2"/>
        <v>68.6109</v>
      </c>
      <c r="D30" s="3">
        <f t="shared" si="4"/>
        <v>0.0113545576</v>
      </c>
      <c r="E30" s="1"/>
      <c r="F30" s="1"/>
      <c r="G30" s="1">
        <f t="shared" si="5"/>
        <v>26</v>
      </c>
      <c r="H30" s="110">
        <v>45338.0</v>
      </c>
      <c r="I30" s="1">
        <v>76.2021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76</v>
      </c>
      <c r="B31" s="110">
        <f t="shared" si="1"/>
        <v>45265</v>
      </c>
      <c r="C31" s="1">
        <f t="shared" si="2"/>
        <v>68.6992</v>
      </c>
      <c r="D31" s="3">
        <f t="shared" si="4"/>
        <v>0.001286967523</v>
      </c>
      <c r="E31" s="1"/>
      <c r="F31" s="1"/>
      <c r="G31" s="1">
        <f t="shared" si="5"/>
        <v>27</v>
      </c>
      <c r="H31" s="110">
        <v>45337.0</v>
      </c>
      <c r="I31" s="1">
        <v>75.5047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75</v>
      </c>
      <c r="B32" s="110">
        <f t="shared" si="1"/>
        <v>45266</v>
      </c>
      <c r="C32" s="1">
        <f t="shared" si="2"/>
        <v>68.7167</v>
      </c>
      <c r="D32" s="3">
        <f t="shared" si="4"/>
        <v>0.0002547336796</v>
      </c>
      <c r="E32" s="1"/>
      <c r="F32" s="1"/>
      <c r="G32" s="1">
        <f t="shared" si="5"/>
        <v>28</v>
      </c>
      <c r="H32" s="110">
        <v>45336.0</v>
      </c>
      <c r="I32" s="1">
        <v>74.182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74</v>
      </c>
      <c r="B33" s="110">
        <f t="shared" si="1"/>
        <v>45267</v>
      </c>
      <c r="C33" s="1">
        <f t="shared" si="2"/>
        <v>69.3135</v>
      </c>
      <c r="D33" s="3">
        <f t="shared" si="4"/>
        <v>0.008684933939</v>
      </c>
      <c r="E33" s="1"/>
      <c r="F33" s="1"/>
      <c r="G33" s="1">
        <f t="shared" si="5"/>
        <v>29</v>
      </c>
      <c r="H33" s="110">
        <v>45335.0</v>
      </c>
      <c r="I33" s="1">
        <v>74.4221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73</v>
      </c>
      <c r="B34" s="110">
        <f t="shared" si="1"/>
        <v>45268</v>
      </c>
      <c r="C34" s="1">
        <f t="shared" si="2"/>
        <v>69.6512</v>
      </c>
      <c r="D34" s="3">
        <f t="shared" si="4"/>
        <v>0.004872066769</v>
      </c>
      <c r="E34" s="1"/>
      <c r="F34" s="1"/>
      <c r="G34" s="1">
        <f t="shared" si="5"/>
        <v>30</v>
      </c>
      <c r="H34" s="110">
        <v>45334.0</v>
      </c>
      <c r="I34" s="1">
        <v>74.6526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72</v>
      </c>
      <c r="B35" s="110">
        <f t="shared" si="1"/>
        <v>45271</v>
      </c>
      <c r="C35" s="1">
        <f t="shared" si="2"/>
        <v>70.2667</v>
      </c>
      <c r="D35" s="3">
        <f t="shared" si="4"/>
        <v>0.008836890104</v>
      </c>
      <c r="E35" s="1"/>
      <c r="F35" s="1"/>
      <c r="G35" s="1">
        <f t="shared" si="5"/>
        <v>31</v>
      </c>
      <c r="H35" s="110">
        <v>45331.0</v>
      </c>
      <c r="I35" s="1">
        <v>74.3816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71</v>
      </c>
      <c r="B36" s="110">
        <f t="shared" si="1"/>
        <v>45272</v>
      </c>
      <c r="C36" s="1">
        <f t="shared" si="2"/>
        <v>69.5383</v>
      </c>
      <c r="D36" s="3">
        <f t="shared" si="4"/>
        <v>-0.01036621899</v>
      </c>
      <c r="E36" s="1"/>
      <c r="F36" s="1"/>
      <c r="G36" s="1">
        <f t="shared" si="5"/>
        <v>32</v>
      </c>
      <c r="H36" s="110">
        <v>45330.0</v>
      </c>
      <c r="I36" s="1">
        <v>74.0541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70</v>
      </c>
      <c r="B37" s="110">
        <f t="shared" si="1"/>
        <v>45273</v>
      </c>
      <c r="C37" s="1">
        <f t="shared" si="2"/>
        <v>70.0077</v>
      </c>
      <c r="D37" s="3">
        <f t="shared" si="4"/>
        <v>0.00675023692</v>
      </c>
      <c r="E37" s="1"/>
      <c r="F37" s="1"/>
      <c r="G37" s="1">
        <f t="shared" si="5"/>
        <v>33</v>
      </c>
      <c r="H37" s="110">
        <v>45329.0</v>
      </c>
      <c r="I37" s="1">
        <v>74.1573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69</v>
      </c>
      <c r="B38" s="110">
        <f t="shared" si="1"/>
        <v>45274</v>
      </c>
      <c r="C38" s="1">
        <f t="shared" si="2"/>
        <v>71.1853</v>
      </c>
      <c r="D38" s="3">
        <f t="shared" si="4"/>
        <v>0.01682100683</v>
      </c>
      <c r="E38" s="1"/>
      <c r="F38" s="1"/>
      <c r="G38" s="1">
        <f t="shared" si="5"/>
        <v>34</v>
      </c>
      <c r="H38" s="110">
        <v>45328.0</v>
      </c>
      <c r="I38" s="1">
        <v>74.2906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68</v>
      </c>
      <c r="B39" s="110">
        <f t="shared" si="1"/>
        <v>45275</v>
      </c>
      <c r="C39" s="1">
        <f t="shared" si="2"/>
        <v>71.4202</v>
      </c>
      <c r="D39" s="3">
        <f t="shared" si="4"/>
        <v>0.00329983859</v>
      </c>
      <c r="E39" s="1"/>
      <c r="F39" s="1"/>
      <c r="G39" s="1">
        <f t="shared" si="5"/>
        <v>35</v>
      </c>
      <c r="H39" s="110">
        <v>45327.0</v>
      </c>
      <c r="I39" s="1">
        <v>74.1124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67</v>
      </c>
      <c r="B40" s="110">
        <f t="shared" si="1"/>
        <v>45278</v>
      </c>
      <c r="C40" s="1">
        <f t="shared" si="2"/>
        <v>71.6366</v>
      </c>
      <c r="D40" s="3">
        <f t="shared" si="4"/>
        <v>0.003029955111</v>
      </c>
      <c r="E40" s="1"/>
      <c r="F40" s="1"/>
      <c r="G40" s="1">
        <f t="shared" si="5"/>
        <v>36</v>
      </c>
      <c r="H40" s="110">
        <v>45324.0</v>
      </c>
      <c r="I40" s="1">
        <v>73.6006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66</v>
      </c>
      <c r="B41" s="110">
        <f t="shared" si="1"/>
        <v>45279</v>
      </c>
      <c r="C41" s="1">
        <f t="shared" si="2"/>
        <v>71.2187</v>
      </c>
      <c r="D41" s="3">
        <f t="shared" si="4"/>
        <v>-0.005833610194</v>
      </c>
      <c r="E41" s="1"/>
      <c r="F41" s="1"/>
      <c r="G41" s="1">
        <f t="shared" si="5"/>
        <v>37</v>
      </c>
      <c r="H41" s="110">
        <v>45323.0</v>
      </c>
      <c r="I41" s="1">
        <v>73.2892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65</v>
      </c>
      <c r="B42" s="110">
        <f t="shared" si="1"/>
        <v>45280</v>
      </c>
      <c r="C42" s="1">
        <f t="shared" si="2"/>
        <v>69.6128</v>
      </c>
      <c r="D42" s="3">
        <f t="shared" si="4"/>
        <v>-0.02254885304</v>
      </c>
      <c r="E42" s="1"/>
      <c r="F42" s="1"/>
      <c r="G42" s="1">
        <f t="shared" si="5"/>
        <v>38</v>
      </c>
      <c r="H42" s="110">
        <v>45322.0</v>
      </c>
      <c r="I42" s="1">
        <v>74.0806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64</v>
      </c>
      <c r="B43" s="110">
        <f t="shared" si="1"/>
        <v>45281</v>
      </c>
      <c r="C43" s="1">
        <f t="shared" si="2"/>
        <v>70.4052</v>
      </c>
      <c r="D43" s="3">
        <f t="shared" si="4"/>
        <v>0.01138296405</v>
      </c>
      <c r="E43" s="1"/>
      <c r="F43" s="1"/>
      <c r="G43" s="1">
        <f t="shared" si="5"/>
        <v>39</v>
      </c>
      <c r="H43" s="110">
        <v>45321.0</v>
      </c>
      <c r="I43" s="1">
        <v>73.2407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63</v>
      </c>
      <c r="B44" s="110">
        <f t="shared" si="1"/>
        <v>45282</v>
      </c>
      <c r="C44" s="1">
        <f t="shared" si="2"/>
        <v>71.5272</v>
      </c>
      <c r="D44" s="3">
        <f t="shared" si="4"/>
        <v>0.01593632289</v>
      </c>
      <c r="E44" s="1"/>
      <c r="F44" s="1"/>
      <c r="G44" s="1">
        <f t="shared" si="5"/>
        <v>40</v>
      </c>
      <c r="H44" s="110">
        <v>45320.0</v>
      </c>
      <c r="I44" s="1">
        <v>73.9146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62</v>
      </c>
      <c r="B45" s="110">
        <f t="shared" si="1"/>
        <v>45286</v>
      </c>
      <c r="C45" s="1">
        <f t="shared" si="2"/>
        <v>71.4932</v>
      </c>
      <c r="D45" s="3">
        <f t="shared" si="4"/>
        <v>-0.0004753436455</v>
      </c>
      <c r="E45" s="1"/>
      <c r="F45" s="1"/>
      <c r="G45" s="1">
        <f t="shared" si="5"/>
        <v>41</v>
      </c>
      <c r="H45" s="110">
        <v>45316.0</v>
      </c>
      <c r="I45" s="1">
        <v>73.0765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61</v>
      </c>
      <c r="B46" s="110">
        <f t="shared" si="1"/>
        <v>45287</v>
      </c>
      <c r="C46" s="1">
        <f t="shared" si="2"/>
        <v>71.7668</v>
      </c>
      <c r="D46" s="3">
        <f t="shared" si="4"/>
        <v>0.003826937387</v>
      </c>
      <c r="E46" s="1"/>
      <c r="F46" s="1"/>
      <c r="G46" s="1">
        <f t="shared" si="5"/>
        <v>42</v>
      </c>
      <c r="H46" s="110">
        <v>45315.0</v>
      </c>
      <c r="I46" s="1">
        <v>73.9132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60</v>
      </c>
      <c r="B47" s="110">
        <f t="shared" si="1"/>
        <v>45288</v>
      </c>
      <c r="C47" s="1">
        <f t="shared" si="2"/>
        <v>71.2956</v>
      </c>
      <c r="D47" s="3">
        <f t="shared" si="4"/>
        <v>-0.00656571005</v>
      </c>
      <c r="E47" s="1"/>
      <c r="F47" s="1"/>
      <c r="G47" s="1">
        <f t="shared" si="5"/>
        <v>43</v>
      </c>
      <c r="H47" s="110">
        <v>45314.0</v>
      </c>
      <c r="I47" s="1">
        <v>72.508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59</v>
      </c>
      <c r="B48" s="110">
        <f t="shared" si="1"/>
        <v>45289</v>
      </c>
      <c r="C48" s="1">
        <f t="shared" si="2"/>
        <v>71.6291</v>
      </c>
      <c r="D48" s="3">
        <f t="shared" si="4"/>
        <v>0.004677708021</v>
      </c>
      <c r="E48" s="1"/>
      <c r="F48" s="1"/>
      <c r="G48" s="1">
        <f t="shared" si="5"/>
        <v>44</v>
      </c>
      <c r="H48" s="110">
        <v>45310.0</v>
      </c>
      <c r="I48" s="1">
        <v>73.9009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58</v>
      </c>
      <c r="B49" s="110">
        <f t="shared" si="1"/>
        <v>45292</v>
      </c>
      <c r="C49" s="1">
        <f t="shared" si="2"/>
        <v>71.4546</v>
      </c>
      <c r="D49" s="3">
        <f t="shared" si="4"/>
        <v>-0.002436160722</v>
      </c>
      <c r="E49" s="1"/>
      <c r="F49" s="1"/>
      <c r="G49" s="1">
        <f t="shared" si="5"/>
        <v>45</v>
      </c>
      <c r="H49" s="110">
        <v>45309.0</v>
      </c>
      <c r="I49" s="1">
        <v>73.2976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57</v>
      </c>
      <c r="B50" s="110">
        <f t="shared" si="1"/>
        <v>45293</v>
      </c>
      <c r="C50" s="1">
        <f t="shared" si="2"/>
        <v>71.3354</v>
      </c>
      <c r="D50" s="3">
        <f t="shared" si="4"/>
        <v>-0.001668192111</v>
      </c>
      <c r="E50" s="1"/>
      <c r="F50" s="1"/>
      <c r="G50" s="1">
        <f t="shared" si="5"/>
        <v>46</v>
      </c>
      <c r="H50" s="110">
        <v>45308.0</v>
      </c>
      <c r="I50" s="1">
        <v>73.4721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56</v>
      </c>
      <c r="B51" s="110">
        <f t="shared" si="1"/>
        <v>45294</v>
      </c>
      <c r="C51" s="1">
        <f t="shared" si="2"/>
        <v>71.2786</v>
      </c>
      <c r="D51" s="3">
        <f t="shared" si="4"/>
        <v>-0.0007962386136</v>
      </c>
      <c r="E51" s="1"/>
      <c r="F51" s="1"/>
      <c r="G51" s="1">
        <f t="shared" si="5"/>
        <v>47</v>
      </c>
      <c r="H51" s="110">
        <v>45307.0</v>
      </c>
      <c r="I51" s="1">
        <v>74.2415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55</v>
      </c>
      <c r="B52" s="110">
        <f t="shared" si="1"/>
        <v>45295</v>
      </c>
      <c r="C52" s="1">
        <f t="shared" si="2"/>
        <v>72.482</v>
      </c>
      <c r="D52" s="3">
        <f t="shared" si="4"/>
        <v>0.01688304765</v>
      </c>
      <c r="E52" s="1"/>
      <c r="F52" s="1"/>
      <c r="G52" s="1">
        <f t="shared" si="5"/>
        <v>48</v>
      </c>
      <c r="H52" s="110">
        <v>45306.0</v>
      </c>
      <c r="I52" s="1">
        <v>75.2274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54</v>
      </c>
      <c r="B53" s="110">
        <f t="shared" si="1"/>
        <v>45296</v>
      </c>
      <c r="C53" s="1">
        <f t="shared" si="2"/>
        <v>73.1965</v>
      </c>
      <c r="D53" s="3">
        <f t="shared" si="4"/>
        <v>0.009857619823</v>
      </c>
      <c r="E53" s="1"/>
      <c r="F53" s="1"/>
      <c r="G53" s="1">
        <f t="shared" si="5"/>
        <v>49</v>
      </c>
      <c r="H53" s="110">
        <v>45303.0</v>
      </c>
      <c r="I53" s="1">
        <v>75.0294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53</v>
      </c>
      <c r="B54" s="110">
        <f t="shared" si="1"/>
        <v>45299</v>
      </c>
      <c r="C54" s="1">
        <f t="shared" si="2"/>
        <v>72.7724</v>
      </c>
      <c r="D54" s="3">
        <f t="shared" si="4"/>
        <v>-0.005793992882</v>
      </c>
      <c r="E54" s="1"/>
      <c r="F54" s="1"/>
      <c r="G54" s="1">
        <f t="shared" si="5"/>
        <v>50</v>
      </c>
      <c r="H54" s="110">
        <v>45302.0</v>
      </c>
      <c r="I54" s="1">
        <v>74.3935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52</v>
      </c>
      <c r="B55" s="110">
        <f t="shared" si="1"/>
        <v>45300</v>
      </c>
      <c r="C55" s="1">
        <f t="shared" si="2"/>
        <v>73.1131</v>
      </c>
      <c r="D55" s="3">
        <f t="shared" si="4"/>
        <v>0.004681719993</v>
      </c>
      <c r="E55" s="1"/>
      <c r="F55" s="1"/>
      <c r="G55" s="1">
        <f t="shared" si="5"/>
        <v>51</v>
      </c>
      <c r="H55" s="110">
        <v>45301.0</v>
      </c>
      <c r="I55" s="1">
        <v>73.5354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51</v>
      </c>
      <c r="B56" s="110">
        <f t="shared" si="1"/>
        <v>45301</v>
      </c>
      <c r="C56" s="1">
        <f t="shared" si="2"/>
        <v>73.5354</v>
      </c>
      <c r="D56" s="3">
        <f t="shared" si="4"/>
        <v>0.00577598269</v>
      </c>
      <c r="E56" s="1"/>
      <c r="F56" s="1"/>
      <c r="G56" s="1">
        <f t="shared" si="5"/>
        <v>52</v>
      </c>
      <c r="H56" s="110">
        <v>45300.0</v>
      </c>
      <c r="I56" s="1">
        <v>73.1131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50</v>
      </c>
      <c r="B57" s="110">
        <f t="shared" si="1"/>
        <v>45302</v>
      </c>
      <c r="C57" s="1">
        <f t="shared" si="2"/>
        <v>74.3935</v>
      </c>
      <c r="D57" s="3">
        <f t="shared" si="4"/>
        <v>0.01166920966</v>
      </c>
      <c r="E57" s="1"/>
      <c r="F57" s="1"/>
      <c r="G57" s="1">
        <f t="shared" si="5"/>
        <v>53</v>
      </c>
      <c r="H57" s="110">
        <v>45299.0</v>
      </c>
      <c r="I57" s="1">
        <v>72.7724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49</v>
      </c>
      <c r="B58" s="110">
        <f t="shared" si="1"/>
        <v>45303</v>
      </c>
      <c r="C58" s="1">
        <f t="shared" si="2"/>
        <v>75.0294</v>
      </c>
      <c r="D58" s="3">
        <f t="shared" si="4"/>
        <v>0.008547789793</v>
      </c>
      <c r="E58" s="1"/>
      <c r="F58" s="1"/>
      <c r="G58" s="1">
        <f t="shared" si="5"/>
        <v>54</v>
      </c>
      <c r="H58" s="110">
        <v>45296.0</v>
      </c>
      <c r="I58" s="1">
        <v>73.1965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48</v>
      </c>
      <c r="B59" s="110">
        <f t="shared" si="1"/>
        <v>45306</v>
      </c>
      <c r="C59" s="1">
        <f t="shared" si="2"/>
        <v>75.2274</v>
      </c>
      <c r="D59" s="3">
        <f t="shared" si="4"/>
        <v>0.002638965526</v>
      </c>
      <c r="E59" s="1"/>
      <c r="F59" s="1"/>
      <c r="G59" s="1">
        <f t="shared" si="5"/>
        <v>55</v>
      </c>
      <c r="H59" s="110">
        <v>45295.0</v>
      </c>
      <c r="I59" s="1">
        <v>72.482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47</v>
      </c>
      <c r="B60" s="110">
        <f t="shared" si="1"/>
        <v>45307</v>
      </c>
      <c r="C60" s="1">
        <f t="shared" si="2"/>
        <v>74.2415</v>
      </c>
      <c r="D60" s="3">
        <f t="shared" si="4"/>
        <v>-0.01310559716</v>
      </c>
      <c r="E60" s="1"/>
      <c r="F60" s="1"/>
      <c r="G60" s="1">
        <f t="shared" si="5"/>
        <v>56</v>
      </c>
      <c r="H60" s="110">
        <v>45294.0</v>
      </c>
      <c r="I60" s="1">
        <v>71.2786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46</v>
      </c>
      <c r="B61" s="110">
        <f t="shared" si="1"/>
        <v>45308</v>
      </c>
      <c r="C61" s="1">
        <f t="shared" si="2"/>
        <v>73.4721</v>
      </c>
      <c r="D61" s="3">
        <f t="shared" si="4"/>
        <v>-0.01036347595</v>
      </c>
      <c r="E61" s="1"/>
      <c r="F61" s="1"/>
      <c r="G61" s="1">
        <f t="shared" si="5"/>
        <v>57</v>
      </c>
      <c r="H61" s="110">
        <v>45293.0</v>
      </c>
      <c r="I61" s="1">
        <v>71.3354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45</v>
      </c>
      <c r="B62" s="110">
        <f t="shared" si="1"/>
        <v>45309</v>
      </c>
      <c r="C62" s="1">
        <f t="shared" si="2"/>
        <v>73.2976</v>
      </c>
      <c r="D62" s="3">
        <f t="shared" si="4"/>
        <v>-0.00237505121</v>
      </c>
      <c r="E62" s="1"/>
      <c r="F62" s="1"/>
      <c r="G62" s="1">
        <f t="shared" si="5"/>
        <v>58</v>
      </c>
      <c r="H62" s="110">
        <v>45292.0</v>
      </c>
      <c r="I62" s="1">
        <v>71.4546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44</v>
      </c>
      <c r="B63" s="110">
        <f t="shared" si="1"/>
        <v>45310</v>
      </c>
      <c r="C63" s="1">
        <f t="shared" si="2"/>
        <v>73.9009</v>
      </c>
      <c r="D63" s="3">
        <f t="shared" si="4"/>
        <v>0.00823082884</v>
      </c>
      <c r="E63" s="1"/>
      <c r="F63" s="1"/>
      <c r="G63" s="1">
        <f t="shared" si="5"/>
        <v>59</v>
      </c>
      <c r="H63" s="110">
        <v>45289.0</v>
      </c>
      <c r="I63" s="1">
        <v>71.6291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43</v>
      </c>
      <c r="B64" s="110">
        <f t="shared" si="1"/>
        <v>45314</v>
      </c>
      <c r="C64" s="1">
        <f t="shared" si="2"/>
        <v>72.508</v>
      </c>
      <c r="D64" s="3">
        <f t="shared" si="4"/>
        <v>-0.0188482143</v>
      </c>
      <c r="E64" s="1"/>
      <c r="F64" s="1"/>
      <c r="G64" s="1">
        <f t="shared" si="5"/>
        <v>60</v>
      </c>
      <c r="H64" s="110">
        <v>45288.0</v>
      </c>
      <c r="I64" s="1">
        <v>71.2956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42</v>
      </c>
      <c r="B65" s="110">
        <f t="shared" si="1"/>
        <v>45315</v>
      </c>
      <c r="C65" s="1">
        <f t="shared" si="2"/>
        <v>73.9132</v>
      </c>
      <c r="D65" s="3">
        <f t="shared" si="4"/>
        <v>0.01937993049</v>
      </c>
      <c r="E65" s="1"/>
      <c r="F65" s="1"/>
      <c r="G65" s="1">
        <f t="shared" si="5"/>
        <v>61</v>
      </c>
      <c r="H65" s="110">
        <v>45287.0</v>
      </c>
      <c r="I65" s="1">
        <v>71.7668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41</v>
      </c>
      <c r="B66" s="110">
        <f t="shared" si="1"/>
        <v>45316</v>
      </c>
      <c r="C66" s="1">
        <f t="shared" si="2"/>
        <v>73.0765</v>
      </c>
      <c r="D66" s="3">
        <f t="shared" si="4"/>
        <v>-0.01132003485</v>
      </c>
      <c r="E66" s="1"/>
      <c r="F66" s="1"/>
      <c r="G66" s="1">
        <f t="shared" si="5"/>
        <v>62</v>
      </c>
      <c r="H66" s="110">
        <v>45286.0</v>
      </c>
      <c r="I66" s="1">
        <v>71.4932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40</v>
      </c>
      <c r="B67" s="110">
        <f t="shared" si="1"/>
        <v>45320</v>
      </c>
      <c r="C67" s="1">
        <f t="shared" si="2"/>
        <v>73.9146</v>
      </c>
      <c r="D67" s="3">
        <f t="shared" si="4"/>
        <v>0.01146880324</v>
      </c>
      <c r="E67" s="1"/>
      <c r="F67" s="1"/>
      <c r="G67" s="1">
        <f t="shared" si="5"/>
        <v>63</v>
      </c>
      <c r="H67" s="110">
        <v>45282.0</v>
      </c>
      <c r="I67" s="1">
        <v>71.5272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39</v>
      </c>
      <c r="B68" s="110">
        <f t="shared" si="1"/>
        <v>45321</v>
      </c>
      <c r="C68" s="1">
        <f t="shared" si="2"/>
        <v>73.2407</v>
      </c>
      <c r="D68" s="3">
        <f t="shared" si="4"/>
        <v>-0.009117278589</v>
      </c>
      <c r="E68" s="1"/>
      <c r="F68" s="1"/>
      <c r="G68" s="1">
        <f t="shared" si="5"/>
        <v>64</v>
      </c>
      <c r="H68" s="110">
        <v>45281.0</v>
      </c>
      <c r="I68" s="1">
        <v>70.4052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38</v>
      </c>
      <c r="B69" s="110">
        <f t="shared" si="1"/>
        <v>45322</v>
      </c>
      <c r="C69" s="1">
        <f t="shared" si="2"/>
        <v>74.0806</v>
      </c>
      <c r="D69" s="3">
        <f t="shared" si="4"/>
        <v>0.01146766757</v>
      </c>
      <c r="E69" s="1"/>
      <c r="F69" s="1"/>
      <c r="G69" s="1">
        <f t="shared" si="5"/>
        <v>65</v>
      </c>
      <c r="H69" s="110">
        <v>45280.0</v>
      </c>
      <c r="I69" s="1">
        <v>69.6128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37</v>
      </c>
      <c r="B70" s="110">
        <f t="shared" si="1"/>
        <v>45323</v>
      </c>
      <c r="C70" s="1">
        <f t="shared" si="2"/>
        <v>73.2892</v>
      </c>
      <c r="D70" s="3">
        <f t="shared" si="4"/>
        <v>-0.01068295883</v>
      </c>
      <c r="E70" s="1"/>
      <c r="F70" s="1"/>
      <c r="G70" s="1">
        <f t="shared" si="5"/>
        <v>66</v>
      </c>
      <c r="H70" s="110">
        <v>45279.0</v>
      </c>
      <c r="I70" s="1">
        <v>71.2187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36</v>
      </c>
      <c r="B71" s="110">
        <f t="shared" si="1"/>
        <v>45324</v>
      </c>
      <c r="C71" s="1">
        <f t="shared" si="2"/>
        <v>73.6006</v>
      </c>
      <c r="D71" s="3">
        <f t="shared" si="4"/>
        <v>0.004248920714</v>
      </c>
      <c r="E71" s="1"/>
      <c r="F71" s="1"/>
      <c r="G71" s="1">
        <f t="shared" si="5"/>
        <v>67</v>
      </c>
      <c r="H71" s="110">
        <v>45278.0</v>
      </c>
      <c r="I71" s="1">
        <v>71.6366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35</v>
      </c>
      <c r="B72" s="110">
        <f t="shared" si="1"/>
        <v>45327</v>
      </c>
      <c r="C72" s="1">
        <f t="shared" si="2"/>
        <v>74.1124</v>
      </c>
      <c r="D72" s="3">
        <f t="shared" si="4"/>
        <v>0.00695374766</v>
      </c>
      <c r="E72" s="1"/>
      <c r="F72" s="1"/>
      <c r="G72" s="1">
        <f t="shared" si="5"/>
        <v>68</v>
      </c>
      <c r="H72" s="110">
        <v>45275.0</v>
      </c>
      <c r="I72" s="1">
        <v>71.4202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34</v>
      </c>
      <c r="B73" s="110">
        <f t="shared" si="1"/>
        <v>45328</v>
      </c>
      <c r="C73" s="1">
        <f t="shared" si="2"/>
        <v>74.2906</v>
      </c>
      <c r="D73" s="3">
        <f t="shared" si="4"/>
        <v>0.002404455934</v>
      </c>
      <c r="E73" s="1"/>
      <c r="F73" s="1"/>
      <c r="G73" s="1">
        <f t="shared" si="5"/>
        <v>69</v>
      </c>
      <c r="H73" s="110">
        <v>45274.0</v>
      </c>
      <c r="I73" s="1">
        <v>71.1853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33</v>
      </c>
      <c r="B74" s="110">
        <f t="shared" si="1"/>
        <v>45329</v>
      </c>
      <c r="C74" s="1">
        <f t="shared" si="2"/>
        <v>74.1573</v>
      </c>
      <c r="D74" s="3">
        <f t="shared" si="4"/>
        <v>-0.001794305067</v>
      </c>
      <c r="E74" s="1"/>
      <c r="F74" s="1"/>
      <c r="G74" s="1">
        <f t="shared" si="5"/>
        <v>70</v>
      </c>
      <c r="H74" s="110">
        <v>45273.0</v>
      </c>
      <c r="I74" s="1">
        <v>70.0077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32</v>
      </c>
      <c r="B75" s="110">
        <f t="shared" si="1"/>
        <v>45330</v>
      </c>
      <c r="C75" s="1">
        <f t="shared" si="2"/>
        <v>74.0541</v>
      </c>
      <c r="D75" s="3">
        <f t="shared" si="4"/>
        <v>-0.001391636427</v>
      </c>
      <c r="E75" s="1"/>
      <c r="F75" s="1"/>
      <c r="G75" s="1">
        <f t="shared" si="5"/>
        <v>71</v>
      </c>
      <c r="H75" s="110">
        <v>45272.0</v>
      </c>
      <c r="I75" s="1">
        <v>69.5383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31</v>
      </c>
      <c r="B76" s="110">
        <f t="shared" si="1"/>
        <v>45331</v>
      </c>
      <c r="C76" s="1">
        <f t="shared" si="2"/>
        <v>74.3816</v>
      </c>
      <c r="D76" s="3">
        <f t="shared" si="4"/>
        <v>0.004422442512</v>
      </c>
      <c r="E76" s="1"/>
      <c r="F76" s="1"/>
      <c r="G76" s="1">
        <f t="shared" si="5"/>
        <v>72</v>
      </c>
      <c r="H76" s="110">
        <v>45271.0</v>
      </c>
      <c r="I76" s="1">
        <v>70.2667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30</v>
      </c>
      <c r="B77" s="110">
        <f t="shared" si="1"/>
        <v>45334</v>
      </c>
      <c r="C77" s="1">
        <f t="shared" si="2"/>
        <v>74.6526</v>
      </c>
      <c r="D77" s="3">
        <f t="shared" si="4"/>
        <v>0.003643374168</v>
      </c>
      <c r="E77" s="1"/>
      <c r="F77" s="1"/>
      <c r="G77" s="1">
        <f t="shared" si="5"/>
        <v>73</v>
      </c>
      <c r="H77" s="110">
        <v>45268.0</v>
      </c>
      <c r="I77" s="1">
        <v>69.6512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29</v>
      </c>
      <c r="B78" s="110">
        <f t="shared" si="1"/>
        <v>45335</v>
      </c>
      <c r="C78" s="1">
        <f t="shared" si="2"/>
        <v>74.4221</v>
      </c>
      <c r="D78" s="3">
        <f t="shared" si="4"/>
        <v>-0.00308763526</v>
      </c>
      <c r="E78" s="1"/>
      <c r="F78" s="1"/>
      <c r="G78" s="1">
        <f t="shared" si="5"/>
        <v>74</v>
      </c>
      <c r="H78" s="110">
        <v>45267.0</v>
      </c>
      <c r="I78" s="1">
        <v>69.3135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28</v>
      </c>
      <c r="B79" s="110">
        <f t="shared" si="1"/>
        <v>45336</v>
      </c>
      <c r="C79" s="1">
        <f t="shared" si="2"/>
        <v>74.182</v>
      </c>
      <c r="D79" s="3">
        <f t="shared" si="4"/>
        <v>-0.00322619222</v>
      </c>
      <c r="E79" s="1"/>
      <c r="F79" s="1"/>
      <c r="G79" s="1">
        <f t="shared" si="5"/>
        <v>75</v>
      </c>
      <c r="H79" s="110">
        <v>45266.0</v>
      </c>
      <c r="I79" s="1">
        <v>68.7167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27</v>
      </c>
      <c r="B80" s="110">
        <f t="shared" si="1"/>
        <v>45337</v>
      </c>
      <c r="C80" s="1">
        <f t="shared" si="2"/>
        <v>75.5047</v>
      </c>
      <c r="D80" s="3">
        <f t="shared" si="4"/>
        <v>0.017830471</v>
      </c>
      <c r="E80" s="1"/>
      <c r="F80" s="1"/>
      <c r="G80" s="1">
        <f t="shared" si="5"/>
        <v>76</v>
      </c>
      <c r="H80" s="110">
        <v>45265.0</v>
      </c>
      <c r="I80" s="1">
        <v>68.6992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26</v>
      </c>
      <c r="B81" s="110">
        <f t="shared" si="1"/>
        <v>45338</v>
      </c>
      <c r="C81" s="1">
        <f t="shared" si="2"/>
        <v>76.2021</v>
      </c>
      <c r="D81" s="3">
        <f t="shared" si="4"/>
        <v>0.009236511105</v>
      </c>
      <c r="E81" s="1"/>
      <c r="F81" s="1"/>
      <c r="G81" s="1">
        <f t="shared" si="5"/>
        <v>77</v>
      </c>
      <c r="H81" s="110">
        <v>45264.0</v>
      </c>
      <c r="I81" s="1">
        <v>68.6109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25</v>
      </c>
      <c r="B82" s="110">
        <f t="shared" si="1"/>
        <v>45341</v>
      </c>
      <c r="C82" s="1">
        <f t="shared" si="2"/>
        <v>76.0508</v>
      </c>
      <c r="D82" s="3">
        <f t="shared" si="4"/>
        <v>-0.001985509586</v>
      </c>
      <c r="E82" s="1"/>
      <c r="F82" s="1"/>
      <c r="G82" s="1">
        <f t="shared" si="5"/>
        <v>78</v>
      </c>
      <c r="H82" s="110">
        <v>45261.0</v>
      </c>
      <c r="I82" s="1">
        <v>67.8406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24</v>
      </c>
      <c r="B83" s="110">
        <f t="shared" si="1"/>
        <v>45342</v>
      </c>
      <c r="C83" s="1">
        <f t="shared" si="2"/>
        <v>76.0981</v>
      </c>
      <c r="D83" s="3">
        <f t="shared" si="4"/>
        <v>0.0006219526948</v>
      </c>
      <c r="E83" s="1"/>
      <c r="F83" s="1"/>
      <c r="G83" s="1">
        <f t="shared" si="5"/>
        <v>79</v>
      </c>
      <c r="H83" s="110">
        <v>45260.0</v>
      </c>
      <c r="I83" s="1">
        <v>67.7392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23</v>
      </c>
      <c r="B84" s="110">
        <f t="shared" si="1"/>
        <v>45343</v>
      </c>
      <c r="C84" s="1">
        <f t="shared" si="2"/>
        <v>76.0131</v>
      </c>
      <c r="D84" s="3">
        <f t="shared" si="4"/>
        <v>-0.001116979268</v>
      </c>
      <c r="E84" s="1"/>
      <c r="F84" s="1"/>
      <c r="G84" s="1">
        <f t="shared" si="5"/>
        <v>80</v>
      </c>
      <c r="H84" s="110">
        <v>45259.0</v>
      </c>
      <c r="I84" s="1">
        <v>66.864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22</v>
      </c>
      <c r="B85" s="110">
        <f t="shared" si="1"/>
        <v>45344</v>
      </c>
      <c r="C85" s="1">
        <f t="shared" si="2"/>
        <v>76.8298</v>
      </c>
      <c r="D85" s="3">
        <f t="shared" si="4"/>
        <v>0.01074420067</v>
      </c>
      <c r="E85" s="1"/>
      <c r="F85" s="1"/>
      <c r="G85" s="1">
        <f t="shared" si="5"/>
        <v>81</v>
      </c>
      <c r="H85" s="110">
        <v>45258.0</v>
      </c>
      <c r="I85" s="1">
        <v>66.4103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21</v>
      </c>
      <c r="B86" s="110">
        <f t="shared" si="1"/>
        <v>45345</v>
      </c>
      <c r="C86" s="1">
        <f t="shared" si="2"/>
        <v>77.9793</v>
      </c>
      <c r="D86" s="3">
        <f t="shared" si="4"/>
        <v>0.01496164249</v>
      </c>
      <c r="E86" s="1"/>
      <c r="F86" s="1"/>
      <c r="G86" s="1">
        <f t="shared" si="5"/>
        <v>82</v>
      </c>
      <c r="H86" s="110">
        <v>45254.0</v>
      </c>
      <c r="I86" s="1">
        <v>66.3472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20</v>
      </c>
      <c r="B87" s="110">
        <f t="shared" si="1"/>
        <v>45348</v>
      </c>
      <c r="C87" s="1">
        <f t="shared" si="2"/>
        <v>77.2779</v>
      </c>
      <c r="D87" s="3">
        <f t="shared" si="4"/>
        <v>-0.008994694746</v>
      </c>
      <c r="E87" s="1"/>
      <c r="F87" s="1"/>
      <c r="G87" s="1">
        <f t="shared" si="5"/>
        <v>83</v>
      </c>
      <c r="H87" s="110">
        <v>45253.0</v>
      </c>
      <c r="I87" s="1">
        <v>66.2963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19</v>
      </c>
      <c r="B88" s="110">
        <f t="shared" si="1"/>
        <v>45349</v>
      </c>
      <c r="C88" s="1">
        <f t="shared" si="2"/>
        <v>76.7766</v>
      </c>
      <c r="D88" s="3">
        <f t="shared" si="4"/>
        <v>-0.006486977519</v>
      </c>
      <c r="E88" s="1"/>
      <c r="F88" s="1"/>
      <c r="G88" s="1">
        <f t="shared" si="5"/>
        <v>84</v>
      </c>
      <c r="H88" s="110">
        <v>45252.0</v>
      </c>
      <c r="I88" s="1">
        <v>66.5706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18</v>
      </c>
      <c r="B89" s="110">
        <f t="shared" si="1"/>
        <v>45350</v>
      </c>
      <c r="C89" s="1">
        <f t="shared" si="2"/>
        <v>76.0376</v>
      </c>
      <c r="D89" s="3">
        <f t="shared" si="4"/>
        <v>-0.009625328551</v>
      </c>
      <c r="E89" s="1"/>
      <c r="F89" s="1"/>
      <c r="G89" s="1">
        <f t="shared" si="5"/>
        <v>85</v>
      </c>
      <c r="H89" s="110">
        <v>45251.0</v>
      </c>
      <c r="I89" s="1">
        <v>65.688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17</v>
      </c>
      <c r="B90" s="110">
        <f t="shared" si="1"/>
        <v>45351</v>
      </c>
      <c r="C90" s="1">
        <f t="shared" si="2"/>
        <v>76.6873</v>
      </c>
      <c r="D90" s="3">
        <f t="shared" si="4"/>
        <v>0.008544456953</v>
      </c>
      <c r="E90" s="1"/>
      <c r="F90" s="1"/>
      <c r="G90" s="1">
        <f t="shared" si="5"/>
        <v>86</v>
      </c>
      <c r="H90" s="110">
        <v>45250.0</v>
      </c>
      <c r="I90" s="1">
        <v>66.0313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16</v>
      </c>
      <c r="B91" s="110">
        <f t="shared" si="1"/>
        <v>45352</v>
      </c>
      <c r="C91" s="1">
        <f t="shared" si="2"/>
        <v>77.587</v>
      </c>
      <c r="D91" s="3">
        <f t="shared" si="4"/>
        <v>0.01173205994</v>
      </c>
      <c r="E91" s="1"/>
      <c r="F91" s="1"/>
      <c r="G91" s="1">
        <f t="shared" si="5"/>
        <v>87</v>
      </c>
      <c r="H91" s="110">
        <v>45247.0</v>
      </c>
      <c r="I91" s="1">
        <v>66.2266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15</v>
      </c>
      <c r="B92" s="110">
        <f t="shared" si="1"/>
        <v>45355</v>
      </c>
      <c r="C92" s="1">
        <f t="shared" si="2"/>
        <v>77.7027</v>
      </c>
      <c r="D92" s="3">
        <f t="shared" si="4"/>
        <v>0.001491229201</v>
      </c>
      <c r="E92" s="1"/>
      <c r="F92" s="1"/>
      <c r="G92" s="1">
        <f t="shared" si="5"/>
        <v>88</v>
      </c>
      <c r="H92" s="110">
        <v>45246.0</v>
      </c>
      <c r="I92" s="1">
        <v>66.634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14</v>
      </c>
      <c r="B93" s="110">
        <f t="shared" si="1"/>
        <v>45356</v>
      </c>
      <c r="C93" s="1">
        <f t="shared" si="2"/>
        <v>76.9564</v>
      </c>
      <c r="D93" s="3">
        <f t="shared" si="4"/>
        <v>-0.009604556856</v>
      </c>
      <c r="E93" s="1"/>
      <c r="F93" s="1"/>
      <c r="G93" s="1">
        <f t="shared" si="5"/>
        <v>89</v>
      </c>
      <c r="H93" s="110">
        <v>45245.0</v>
      </c>
      <c r="I93" s="1">
        <v>65.4652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13</v>
      </c>
      <c r="B94" s="110">
        <f t="shared" si="1"/>
        <v>45357</v>
      </c>
      <c r="C94" s="1">
        <f t="shared" si="2"/>
        <v>77.2119</v>
      </c>
      <c r="D94" s="3">
        <f t="shared" si="4"/>
        <v>0.003320061749</v>
      </c>
      <c r="E94" s="1"/>
      <c r="F94" s="1"/>
      <c r="G94" s="1">
        <f t="shared" si="5"/>
        <v>90</v>
      </c>
      <c r="H94" s="110">
        <v>45243.0</v>
      </c>
      <c r="I94" s="1">
        <v>64.8299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12</v>
      </c>
      <c r="B95" s="110">
        <f t="shared" si="1"/>
        <v>45358</v>
      </c>
      <c r="C95" s="1">
        <f t="shared" si="2"/>
        <v>77.2109</v>
      </c>
      <c r="D95" s="3">
        <f t="shared" si="4"/>
        <v>-0.00001295137149</v>
      </c>
      <c r="E95" s="1"/>
      <c r="F95" s="1"/>
      <c r="G95" s="1">
        <f t="shared" si="5"/>
        <v>91</v>
      </c>
      <c r="H95" s="110">
        <v>45240.0</v>
      </c>
      <c r="I95" s="1">
        <v>64.8141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11</v>
      </c>
      <c r="B96" s="110">
        <f t="shared" si="1"/>
        <v>45362</v>
      </c>
      <c r="C96" s="1">
        <f t="shared" si="2"/>
        <v>77.4474</v>
      </c>
      <c r="D96" s="3">
        <f t="shared" si="4"/>
        <v>0.003063039027</v>
      </c>
      <c r="E96" s="1"/>
      <c r="F96" s="1"/>
      <c r="G96" s="1">
        <f t="shared" si="5"/>
        <v>92</v>
      </c>
      <c r="H96" s="110">
        <v>45239.0</v>
      </c>
      <c r="I96" s="1">
        <v>64.4576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10</v>
      </c>
      <c r="B97" s="110">
        <f t="shared" si="1"/>
        <v>45363</v>
      </c>
      <c r="C97" s="1">
        <f t="shared" si="2"/>
        <v>77.0757</v>
      </c>
      <c r="D97" s="3">
        <f t="shared" si="4"/>
        <v>-0.004799386422</v>
      </c>
      <c r="E97" s="1"/>
      <c r="F97" s="1"/>
      <c r="G97" s="1">
        <f t="shared" si="5"/>
        <v>93</v>
      </c>
      <c r="H97" s="110">
        <v>45238.0</v>
      </c>
      <c r="I97" s="1">
        <v>64.5836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9</v>
      </c>
      <c r="B98" s="110">
        <f t="shared" si="1"/>
        <v>45364</v>
      </c>
      <c r="C98" s="1">
        <f t="shared" si="2"/>
        <v>75.0565</v>
      </c>
      <c r="D98" s="3">
        <f t="shared" si="4"/>
        <v>-0.0261976213</v>
      </c>
      <c r="E98" s="1"/>
      <c r="F98" s="1"/>
      <c r="G98" s="1">
        <f t="shared" si="5"/>
        <v>94</v>
      </c>
      <c r="H98" s="110">
        <v>45237.0</v>
      </c>
      <c r="I98" s="1">
        <v>63.8623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8</v>
      </c>
      <c r="B99" s="110">
        <f t="shared" si="1"/>
        <v>45365</v>
      </c>
      <c r="C99" s="1">
        <f t="shared" si="2"/>
        <v>75.8079</v>
      </c>
      <c r="D99" s="3">
        <f t="shared" si="4"/>
        <v>0.01001112495</v>
      </c>
      <c r="E99" s="1"/>
      <c r="F99" s="1"/>
      <c r="G99" s="1">
        <f t="shared" si="5"/>
        <v>95</v>
      </c>
      <c r="H99" s="110">
        <v>45236.0</v>
      </c>
      <c r="I99" s="1">
        <v>63.9772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7</v>
      </c>
      <c r="B100" s="110">
        <f t="shared" si="1"/>
        <v>45366</v>
      </c>
      <c r="C100" s="1">
        <f t="shared" si="2"/>
        <v>75.8432</v>
      </c>
      <c r="D100" s="3">
        <f t="shared" si="4"/>
        <v>0.0004656506776</v>
      </c>
      <c r="E100" s="1"/>
      <c r="F100" s="1"/>
      <c r="G100" s="1">
        <f t="shared" si="5"/>
        <v>96</v>
      </c>
      <c r="H100" s="110">
        <v>45233.0</v>
      </c>
      <c r="I100" s="1">
        <v>63.0825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6</v>
      </c>
      <c r="B101" s="110">
        <f t="shared" si="1"/>
        <v>45369</v>
      </c>
      <c r="C101" s="1">
        <f t="shared" si="2"/>
        <v>75.15</v>
      </c>
      <c r="D101" s="3">
        <f t="shared" si="4"/>
        <v>-0.009139909708</v>
      </c>
      <c r="E101" s="1"/>
      <c r="F101" s="1"/>
      <c r="G101" s="1">
        <f t="shared" si="5"/>
        <v>97</v>
      </c>
      <c r="H101" s="110">
        <v>45232.0</v>
      </c>
      <c r="I101" s="1">
        <v>62.4289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5</v>
      </c>
      <c r="B102" s="110">
        <f t="shared" si="1"/>
        <v>45370</v>
      </c>
      <c r="C102" s="1">
        <f t="shared" si="2"/>
        <v>74.6398</v>
      </c>
      <c r="D102" s="3">
        <f t="shared" si="4"/>
        <v>-0.00678908849</v>
      </c>
      <c r="E102" s="1"/>
      <c r="F102" s="1"/>
      <c r="G102" s="1">
        <f t="shared" si="5"/>
        <v>98</v>
      </c>
      <c r="H102" s="110">
        <v>45231.0</v>
      </c>
      <c r="I102" s="1">
        <v>61.8079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4</v>
      </c>
      <c r="B103" s="110">
        <f t="shared" si="1"/>
        <v>45371</v>
      </c>
      <c r="C103" s="1">
        <f t="shared" si="2"/>
        <v>74.8934</v>
      </c>
      <c r="D103" s="3">
        <f t="shared" si="4"/>
        <v>0.003397651119</v>
      </c>
      <c r="E103" s="1"/>
      <c r="F103" s="1"/>
      <c r="G103" s="1">
        <f t="shared" si="5"/>
        <v>99</v>
      </c>
      <c r="H103" s="110">
        <v>45230.0</v>
      </c>
      <c r="I103" s="1">
        <v>61.9895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3</v>
      </c>
      <c r="B104" s="110">
        <f t="shared" si="1"/>
        <v>45372</v>
      </c>
      <c r="C104" s="1">
        <f t="shared" si="2"/>
        <v>76.4568</v>
      </c>
      <c r="D104" s="3">
        <f t="shared" si="4"/>
        <v>0.02087500367</v>
      </c>
      <c r="E104" s="1"/>
      <c r="F104" s="1"/>
      <c r="G104" s="1">
        <f t="shared" si="5"/>
        <v>100</v>
      </c>
      <c r="H104" s="110">
        <v>45229.0</v>
      </c>
      <c r="I104" s="1">
        <v>61.9478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2</v>
      </c>
      <c r="B105" s="110">
        <f t="shared" si="1"/>
        <v>45373</v>
      </c>
      <c r="C105" s="1">
        <f t="shared" si="2"/>
        <v>76.7628</v>
      </c>
      <c r="D105" s="3">
        <f t="shared" si="4"/>
        <v>0.0040022601</v>
      </c>
      <c r="E105" s="1"/>
      <c r="F105" s="1"/>
      <c r="G105" s="1">
        <f t="shared" si="5"/>
        <v>101</v>
      </c>
      <c r="H105" s="110">
        <v>45226.0</v>
      </c>
      <c r="I105" s="1">
        <v>61.8412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3"/>
        <v>1</v>
      </c>
      <c r="B106" s="110">
        <f t="shared" si="1"/>
        <v>45377</v>
      </c>
      <c r="C106" s="1">
        <f t="shared" si="2"/>
        <v>78.0326</v>
      </c>
      <c r="D106" s="3">
        <f t="shared" si="4"/>
        <v>0.01654186663</v>
      </c>
      <c r="E106" s="1"/>
      <c r="F106" s="1"/>
      <c r="G106" s="1">
        <f t="shared" si="5"/>
        <v>102</v>
      </c>
      <c r="H106" s="110">
        <v>45225.0</v>
      </c>
      <c r="I106" s="1">
        <v>60.8246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56"/>
    <col customWidth="1" min="2" max="2" width="16.33"/>
    <col customWidth="1" min="3" max="6" width="10.78"/>
    <col customWidth="1" hidden="1" min="7" max="10" width="10.56"/>
    <col customWidth="1" min="11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11"/>
      <c r="B5" s="111" t="s">
        <v>61</v>
      </c>
      <c r="C5" s="111" t="s">
        <v>62</v>
      </c>
      <c r="D5" s="112" t="s">
        <v>51</v>
      </c>
      <c r="E5" s="1"/>
      <c r="F5" s="1"/>
      <c r="G5" s="111"/>
      <c r="H5" s="111" t="s">
        <v>59</v>
      </c>
      <c r="I5" s="111" t="s">
        <v>172</v>
      </c>
      <c r="J5" s="111" t="s">
        <v>171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11">
        <v>112.0</v>
      </c>
      <c r="B6" s="111" t="str">
        <f t="shared" ref="B6:B117" si="1">VLOOKUP(A6,$G$6:$J$117,2)</f>
        <v>Oct 26, 2023</v>
      </c>
      <c r="C6" s="111">
        <f t="shared" ref="C6:C117" si="2">VLOOKUP(A6,$G$6:$J$117,4)</f>
        <v>3.5845</v>
      </c>
      <c r="D6" s="103" t="s">
        <v>64</v>
      </c>
      <c r="E6" s="1"/>
      <c r="F6" s="1"/>
      <c r="G6" s="111">
        <v>1.0</v>
      </c>
      <c r="H6" s="111" t="s">
        <v>63</v>
      </c>
      <c r="I6" s="113">
        <v>-3.0E-4</v>
      </c>
      <c r="J6" s="111">
        <v>4.0072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11">
        <f t="shared" ref="A7:A117" si="3">A6-1</f>
        <v>111</v>
      </c>
      <c r="B7" s="111" t="str">
        <f t="shared" si="1"/>
        <v>Oct 27, 2023</v>
      </c>
      <c r="C7" s="111">
        <f t="shared" si="2"/>
        <v>3.646</v>
      </c>
      <c r="D7" s="3">
        <f t="shared" ref="D7:D117" si="4">C7/C6-1</f>
        <v>0.01715720463</v>
      </c>
      <c r="E7" s="1"/>
      <c r="F7" s="1"/>
      <c r="G7" s="111">
        <f t="shared" ref="G7:G117" si="5">1+G6</f>
        <v>2</v>
      </c>
      <c r="H7" s="111" t="s">
        <v>173</v>
      </c>
      <c r="I7" s="113">
        <v>0.0019</v>
      </c>
      <c r="J7" s="111">
        <v>4.0083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1">
        <f t="shared" si="3"/>
        <v>110</v>
      </c>
      <c r="B8" s="111" t="str">
        <f t="shared" si="1"/>
        <v>Oct 30, 2023</v>
      </c>
      <c r="C8" s="111">
        <f t="shared" si="2"/>
        <v>3.6585</v>
      </c>
      <c r="D8" s="3">
        <f t="shared" si="4"/>
        <v>0.003428414701</v>
      </c>
      <c r="E8" s="2" t="s">
        <v>51</v>
      </c>
      <c r="F8" s="3">
        <f>AVERAGE(D7:D117)</f>
        <v>0.001059999542</v>
      </c>
      <c r="G8" s="111">
        <f t="shared" si="5"/>
        <v>3</v>
      </c>
      <c r="H8" s="111" t="s">
        <v>184</v>
      </c>
      <c r="I8" s="113">
        <v>-0.0017</v>
      </c>
      <c r="J8" s="111">
        <v>4.0008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11">
        <f t="shared" si="3"/>
        <v>109</v>
      </c>
      <c r="B9" s="111" t="str">
        <f t="shared" si="1"/>
        <v>Oct 31, 2023</v>
      </c>
      <c r="C9" s="111">
        <f t="shared" si="2"/>
        <v>3.649</v>
      </c>
      <c r="D9" s="3">
        <f t="shared" si="4"/>
        <v>-0.002596692634</v>
      </c>
      <c r="E9" s="1" t="s">
        <v>67</v>
      </c>
      <c r="F9" s="3">
        <f>STDEV(D7:D117)</f>
        <v>0.0105828661</v>
      </c>
      <c r="G9" s="111">
        <f t="shared" si="5"/>
        <v>4</v>
      </c>
      <c r="H9" s="111" t="s">
        <v>65</v>
      </c>
      <c r="I9" s="113">
        <v>-0.0126</v>
      </c>
      <c r="J9" s="111">
        <v>4.0075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11">
        <f t="shared" si="3"/>
        <v>108</v>
      </c>
      <c r="B10" s="111" t="str">
        <f t="shared" si="1"/>
        <v>Nov 01, 2023</v>
      </c>
      <c r="C10" s="111">
        <f t="shared" si="2"/>
        <v>3.649</v>
      </c>
      <c r="D10" s="3">
        <f t="shared" si="4"/>
        <v>0</v>
      </c>
      <c r="E10" s="1"/>
      <c r="F10" s="1"/>
      <c r="G10" s="111">
        <f t="shared" si="5"/>
        <v>5</v>
      </c>
      <c r="H10" s="111" t="s">
        <v>66</v>
      </c>
      <c r="I10" s="113">
        <v>0.0017</v>
      </c>
      <c r="J10" s="111">
        <v>4.0585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11">
        <f t="shared" si="3"/>
        <v>107</v>
      </c>
      <c r="B11" s="111" t="str">
        <f t="shared" si="1"/>
        <v>Nov 02, 2023</v>
      </c>
      <c r="C11" s="111">
        <f t="shared" si="2"/>
        <v>3.6725</v>
      </c>
      <c r="D11" s="3">
        <f t="shared" si="4"/>
        <v>0.006440120581</v>
      </c>
      <c r="E11" s="1"/>
      <c r="F11" s="1"/>
      <c r="G11" s="111">
        <f t="shared" si="5"/>
        <v>6</v>
      </c>
      <c r="H11" s="111" t="s">
        <v>68</v>
      </c>
      <c r="I11" s="113">
        <v>-0.0056</v>
      </c>
      <c r="J11" s="111">
        <v>4.0515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11">
        <f t="shared" si="3"/>
        <v>106</v>
      </c>
      <c r="B12" s="111" t="str">
        <f t="shared" si="1"/>
        <v>Nov 03, 2023</v>
      </c>
      <c r="C12" s="111">
        <f t="shared" si="2"/>
        <v>3.6815</v>
      </c>
      <c r="D12" s="3">
        <f t="shared" si="4"/>
        <v>0.002450646698</v>
      </c>
      <c r="E12" s="1"/>
      <c r="F12" s="1"/>
      <c r="G12" s="111">
        <f t="shared" si="5"/>
        <v>7</v>
      </c>
      <c r="H12" s="111" t="s">
        <v>69</v>
      </c>
      <c r="I12" s="113">
        <v>-0.0134</v>
      </c>
      <c r="J12" s="111">
        <v>4.0745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11">
        <f t="shared" si="3"/>
        <v>105</v>
      </c>
      <c r="B13" s="111" t="str">
        <f t="shared" si="1"/>
        <v>Nov 06, 2023</v>
      </c>
      <c r="C13" s="111">
        <f t="shared" si="2"/>
        <v>3.719</v>
      </c>
      <c r="D13" s="3">
        <f t="shared" si="4"/>
        <v>0.01018606546</v>
      </c>
      <c r="E13" s="1"/>
      <c r="F13" s="1"/>
      <c r="G13" s="111">
        <f t="shared" si="5"/>
        <v>8</v>
      </c>
      <c r="H13" s="111" t="s">
        <v>70</v>
      </c>
      <c r="I13" s="113">
        <v>0.0013</v>
      </c>
      <c r="J13" s="111">
        <v>4.13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11">
        <f t="shared" si="3"/>
        <v>104</v>
      </c>
      <c r="B14" s="111" t="str">
        <f t="shared" si="1"/>
        <v>Nov 07, 2023</v>
      </c>
      <c r="C14" s="111">
        <f t="shared" si="2"/>
        <v>3.679</v>
      </c>
      <c r="D14" s="3">
        <f t="shared" si="4"/>
        <v>-0.01075557946</v>
      </c>
      <c r="E14" s="1"/>
      <c r="F14" s="1"/>
      <c r="G14" s="111">
        <f t="shared" si="5"/>
        <v>9</v>
      </c>
      <c r="H14" s="111" t="s">
        <v>71</v>
      </c>
      <c r="I14" s="113">
        <v>0.0195</v>
      </c>
      <c r="J14" s="111">
        <v>4.1245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11">
        <f t="shared" si="3"/>
        <v>103</v>
      </c>
      <c r="B15" s="111" t="str">
        <f t="shared" si="1"/>
        <v>Nov 08, 2023</v>
      </c>
      <c r="C15" s="111">
        <f t="shared" si="2"/>
        <v>3.638</v>
      </c>
      <c r="D15" s="3">
        <f t="shared" si="4"/>
        <v>-0.0111443327</v>
      </c>
      <c r="E15" s="1"/>
      <c r="F15" s="1"/>
      <c r="G15" s="111">
        <f t="shared" si="5"/>
        <v>10</v>
      </c>
      <c r="H15" s="111" t="s">
        <v>72</v>
      </c>
      <c r="I15" s="113">
        <v>-0.0036</v>
      </c>
      <c r="J15" s="111">
        <v>4.0455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11">
        <f t="shared" si="3"/>
        <v>102</v>
      </c>
      <c r="B16" s="111" t="str">
        <f t="shared" si="1"/>
        <v>Nov 09, 2023</v>
      </c>
      <c r="C16" s="111">
        <f t="shared" si="2"/>
        <v>3.6405</v>
      </c>
      <c r="D16" s="3">
        <f t="shared" si="4"/>
        <v>0.0006871907642</v>
      </c>
      <c r="E16" s="1"/>
      <c r="F16" s="1"/>
      <c r="G16" s="111">
        <f t="shared" si="5"/>
        <v>11</v>
      </c>
      <c r="H16" s="111" t="s">
        <v>73</v>
      </c>
      <c r="I16" s="113">
        <v>0.0326</v>
      </c>
      <c r="J16" s="111">
        <v>4.06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11">
        <f t="shared" si="3"/>
        <v>101</v>
      </c>
      <c r="B17" s="111" t="str">
        <f t="shared" si="1"/>
        <v>Nov 10, 2023</v>
      </c>
      <c r="C17" s="111">
        <f t="shared" si="2"/>
        <v>3.587</v>
      </c>
      <c r="D17" s="3">
        <f t="shared" si="4"/>
        <v>-0.01469578355</v>
      </c>
      <c r="E17" s="1"/>
      <c r="F17" s="1"/>
      <c r="G17" s="111">
        <f t="shared" si="5"/>
        <v>12</v>
      </c>
      <c r="H17" s="111" t="s">
        <v>74</v>
      </c>
      <c r="I17" s="113">
        <v>9.0E-4</v>
      </c>
      <c r="J17" s="111">
        <v>3.932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11">
        <f t="shared" si="3"/>
        <v>100</v>
      </c>
      <c r="B18" s="111" t="str">
        <f t="shared" si="1"/>
        <v>Nov 13, 2023</v>
      </c>
      <c r="C18" s="111">
        <f t="shared" si="2"/>
        <v>3.666</v>
      </c>
      <c r="D18" s="3">
        <f t="shared" si="4"/>
        <v>0.02202397547</v>
      </c>
      <c r="E18" s="1"/>
      <c r="F18" s="1"/>
      <c r="G18" s="111">
        <f t="shared" si="5"/>
        <v>13</v>
      </c>
      <c r="H18" s="111" t="s">
        <v>75</v>
      </c>
      <c r="I18" s="113">
        <v>0.0095</v>
      </c>
      <c r="J18" s="111">
        <v>3.9285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11">
        <f t="shared" si="3"/>
        <v>99</v>
      </c>
      <c r="B19" s="111" t="str">
        <f t="shared" si="1"/>
        <v>Nov 14, 2023</v>
      </c>
      <c r="C19" s="111">
        <f t="shared" si="2"/>
        <v>3.6835</v>
      </c>
      <c r="D19" s="3">
        <f t="shared" si="4"/>
        <v>0.004773595199</v>
      </c>
      <c r="E19" s="1"/>
      <c r="F19" s="1"/>
      <c r="G19" s="111">
        <f t="shared" si="5"/>
        <v>14</v>
      </c>
      <c r="H19" s="111" t="s">
        <v>174</v>
      </c>
      <c r="I19" s="113">
        <v>-0.0088</v>
      </c>
      <c r="J19" s="111">
        <v>3.8915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11">
        <f t="shared" si="3"/>
        <v>98</v>
      </c>
      <c r="B20" s="111" t="str">
        <f t="shared" si="1"/>
        <v>Nov 15, 2023</v>
      </c>
      <c r="C20" s="111">
        <f t="shared" si="2"/>
        <v>3.7185</v>
      </c>
      <c r="D20" s="3">
        <f t="shared" si="4"/>
        <v>0.009501832496</v>
      </c>
      <c r="E20" s="1"/>
      <c r="F20" s="1"/>
      <c r="G20" s="111">
        <f t="shared" si="5"/>
        <v>15</v>
      </c>
      <c r="H20" s="111" t="s">
        <v>76</v>
      </c>
      <c r="I20" s="113">
        <v>0.0132</v>
      </c>
      <c r="J20" s="111">
        <v>3.926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11">
        <f t="shared" si="3"/>
        <v>97</v>
      </c>
      <c r="B21" s="111" t="str">
        <f t="shared" si="1"/>
        <v>Nov 16, 2023</v>
      </c>
      <c r="C21" s="111">
        <f t="shared" si="2"/>
        <v>3.7025</v>
      </c>
      <c r="D21" s="3">
        <f t="shared" si="4"/>
        <v>-0.004302810273</v>
      </c>
      <c r="E21" s="1"/>
      <c r="F21" s="1"/>
      <c r="G21" s="111">
        <f t="shared" si="5"/>
        <v>16</v>
      </c>
      <c r="H21" s="111" t="s">
        <v>77</v>
      </c>
      <c r="I21" s="113">
        <v>0.0073</v>
      </c>
      <c r="J21" s="111">
        <v>3.875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1">
        <f t="shared" si="3"/>
        <v>96</v>
      </c>
      <c r="B22" s="111" t="str">
        <f t="shared" si="1"/>
        <v>Nov 17, 2023</v>
      </c>
      <c r="C22" s="111">
        <f t="shared" si="2"/>
        <v>3.7345</v>
      </c>
      <c r="D22" s="3">
        <f t="shared" si="4"/>
        <v>0.008642808913</v>
      </c>
      <c r="E22" s="1"/>
      <c r="F22" s="1"/>
      <c r="G22" s="111">
        <f t="shared" si="5"/>
        <v>17</v>
      </c>
      <c r="H22" s="111" t="s">
        <v>78</v>
      </c>
      <c r="I22" s="113">
        <v>-0.0026</v>
      </c>
      <c r="J22" s="111">
        <v>3.847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1">
        <f t="shared" si="3"/>
        <v>95</v>
      </c>
      <c r="B23" s="111" t="str">
        <f t="shared" si="1"/>
        <v>Nov 20, 2023</v>
      </c>
      <c r="C23" s="111">
        <f t="shared" si="2"/>
        <v>3.8335</v>
      </c>
      <c r="D23" s="3">
        <f t="shared" si="4"/>
        <v>0.0265095729</v>
      </c>
      <c r="E23" s="1"/>
      <c r="F23" s="1"/>
      <c r="G23" s="111">
        <f t="shared" si="5"/>
        <v>18</v>
      </c>
      <c r="H23" s="111" t="s">
        <v>79</v>
      </c>
      <c r="I23" s="113">
        <v>-0.0012</v>
      </c>
      <c r="J23" s="111">
        <v>3.857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1">
        <f t="shared" si="3"/>
        <v>94</v>
      </c>
      <c r="B24" s="111" t="str">
        <f t="shared" si="1"/>
        <v>Nov 21, 2023</v>
      </c>
      <c r="C24" s="111">
        <f t="shared" si="2"/>
        <v>3.8395</v>
      </c>
      <c r="D24" s="3">
        <f t="shared" si="4"/>
        <v>0.001565149341</v>
      </c>
      <c r="E24" s="1"/>
      <c r="F24" s="1"/>
      <c r="G24" s="111">
        <f t="shared" si="5"/>
        <v>19</v>
      </c>
      <c r="H24" s="111" t="s">
        <v>80</v>
      </c>
      <c r="I24" s="113">
        <v>0.0038</v>
      </c>
      <c r="J24" s="111">
        <v>3.8615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1">
        <f t="shared" si="3"/>
        <v>93</v>
      </c>
      <c r="B25" s="111" t="str">
        <f t="shared" si="1"/>
        <v>Nov 22, 2023</v>
      </c>
      <c r="C25" s="111">
        <f t="shared" si="2"/>
        <v>3.797</v>
      </c>
      <c r="D25" s="3">
        <f t="shared" si="4"/>
        <v>-0.01106914963</v>
      </c>
      <c r="E25" s="1"/>
      <c r="F25" s="1"/>
      <c r="G25" s="111">
        <f t="shared" si="5"/>
        <v>20</v>
      </c>
      <c r="H25" s="111" t="s">
        <v>81</v>
      </c>
      <c r="I25" s="113">
        <v>0.0017</v>
      </c>
      <c r="J25" s="111">
        <v>3.847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1">
        <f t="shared" si="3"/>
        <v>92</v>
      </c>
      <c r="B26" s="111" t="str">
        <f t="shared" si="1"/>
        <v>Nov 23, 2023</v>
      </c>
      <c r="C26" s="111">
        <f t="shared" si="2"/>
        <v>3.7743</v>
      </c>
      <c r="D26" s="3">
        <f t="shared" si="4"/>
        <v>-0.005978404003</v>
      </c>
      <c r="E26" s="1"/>
      <c r="F26" s="1"/>
      <c r="G26" s="111">
        <f t="shared" si="5"/>
        <v>21</v>
      </c>
      <c r="H26" s="111" t="s">
        <v>82</v>
      </c>
      <c r="I26" s="113">
        <v>-1.0E-4</v>
      </c>
      <c r="J26" s="111">
        <v>3.8405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1">
        <f t="shared" si="3"/>
        <v>91</v>
      </c>
      <c r="B27" s="111" t="str">
        <f t="shared" si="1"/>
        <v>Nov 24, 2023</v>
      </c>
      <c r="C27" s="111">
        <f t="shared" si="2"/>
        <v>3.8205</v>
      </c>
      <c r="D27" s="3">
        <f t="shared" si="4"/>
        <v>0.01224068039</v>
      </c>
      <c r="E27" s="1"/>
      <c r="F27" s="1"/>
      <c r="G27" s="111">
        <f t="shared" si="5"/>
        <v>22</v>
      </c>
      <c r="H27" s="111" t="s">
        <v>83</v>
      </c>
      <c r="I27" s="113">
        <v>0.0041</v>
      </c>
      <c r="J27" s="111">
        <v>3.841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11">
        <f t="shared" si="3"/>
        <v>90</v>
      </c>
      <c r="B28" s="111" t="str">
        <f t="shared" si="1"/>
        <v>Nov 27, 2023</v>
      </c>
      <c r="C28" s="111">
        <f t="shared" si="2"/>
        <v>3.789</v>
      </c>
      <c r="D28" s="3">
        <f t="shared" si="4"/>
        <v>-0.008244994111</v>
      </c>
      <c r="E28" s="1"/>
      <c r="F28" s="1"/>
      <c r="G28" s="111">
        <f t="shared" si="5"/>
        <v>23</v>
      </c>
      <c r="H28" s="111" t="s">
        <v>84</v>
      </c>
      <c r="I28" s="113">
        <v>-0.0168</v>
      </c>
      <c r="J28" s="111">
        <v>3.8255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11">
        <f t="shared" si="3"/>
        <v>89</v>
      </c>
      <c r="B29" s="111" t="str">
        <f t="shared" si="1"/>
        <v>Nov 28, 2023</v>
      </c>
      <c r="C29" s="111">
        <f t="shared" si="2"/>
        <v>3.8285</v>
      </c>
      <c r="D29" s="3">
        <f t="shared" si="4"/>
        <v>0.01042491423</v>
      </c>
      <c r="E29" s="1"/>
      <c r="F29" s="1"/>
      <c r="G29" s="111">
        <f t="shared" si="5"/>
        <v>24</v>
      </c>
      <c r="H29" s="111" t="s">
        <v>85</v>
      </c>
      <c r="I29" s="113">
        <v>-0.0061</v>
      </c>
      <c r="J29" s="111">
        <v>3.891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1">
        <f t="shared" si="3"/>
        <v>88</v>
      </c>
      <c r="B30" s="111" t="str">
        <f t="shared" si="1"/>
        <v>Nov 29, 2023</v>
      </c>
      <c r="C30" s="111">
        <f t="shared" si="2"/>
        <v>3.8255</v>
      </c>
      <c r="D30" s="3">
        <f t="shared" si="4"/>
        <v>-0.0007835967089</v>
      </c>
      <c r="E30" s="1"/>
      <c r="F30" s="1"/>
      <c r="G30" s="111">
        <f t="shared" si="5"/>
        <v>25</v>
      </c>
      <c r="H30" s="111" t="s">
        <v>86</v>
      </c>
      <c r="I30" s="113">
        <v>0.0071</v>
      </c>
      <c r="J30" s="111">
        <v>3.915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1">
        <f t="shared" si="3"/>
        <v>87</v>
      </c>
      <c r="B31" s="111" t="str">
        <f t="shared" si="1"/>
        <v>Nov 30, 2023</v>
      </c>
      <c r="C31" s="111">
        <f t="shared" si="2"/>
        <v>3.8505</v>
      </c>
      <c r="D31" s="3">
        <f t="shared" si="4"/>
        <v>0.006535093452</v>
      </c>
      <c r="E31" s="1"/>
      <c r="F31" s="1"/>
      <c r="G31" s="111">
        <f t="shared" si="5"/>
        <v>26</v>
      </c>
      <c r="H31" s="111" t="s">
        <v>87</v>
      </c>
      <c r="I31" s="113">
        <v>0.0031</v>
      </c>
      <c r="J31" s="111">
        <v>3.8875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1">
        <f t="shared" si="3"/>
        <v>86</v>
      </c>
      <c r="B32" s="111" t="str">
        <f t="shared" si="1"/>
        <v>Dec 01, 2023</v>
      </c>
      <c r="C32" s="111">
        <f t="shared" si="2"/>
        <v>3.9315</v>
      </c>
      <c r="D32" s="3">
        <f t="shared" si="4"/>
        <v>0.02103622906</v>
      </c>
      <c r="E32" s="1"/>
      <c r="F32" s="1"/>
      <c r="G32" s="111">
        <f t="shared" si="5"/>
        <v>27</v>
      </c>
      <c r="H32" s="111" t="s">
        <v>88</v>
      </c>
      <c r="I32" s="113">
        <v>0.0169</v>
      </c>
      <c r="J32" s="111">
        <v>3.8755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11">
        <f t="shared" si="3"/>
        <v>85</v>
      </c>
      <c r="B33" s="111" t="str">
        <f t="shared" si="1"/>
        <v>Dec 04, 2023</v>
      </c>
      <c r="C33" s="111">
        <f t="shared" si="2"/>
        <v>3.8355</v>
      </c>
      <c r="D33" s="3">
        <f t="shared" si="4"/>
        <v>-0.02441816101</v>
      </c>
      <c r="E33" s="1"/>
      <c r="F33" s="1"/>
      <c r="G33" s="111">
        <f t="shared" si="5"/>
        <v>28</v>
      </c>
      <c r="H33" s="111" t="s">
        <v>89</v>
      </c>
      <c r="I33" s="113">
        <v>-0.0015</v>
      </c>
      <c r="J33" s="111">
        <v>3.811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1">
        <f t="shared" si="3"/>
        <v>84</v>
      </c>
      <c r="B34" s="111" t="str">
        <f t="shared" si="1"/>
        <v>Dec 05, 2023</v>
      </c>
      <c r="C34" s="111">
        <f t="shared" si="2"/>
        <v>3.784</v>
      </c>
      <c r="D34" s="3">
        <f t="shared" si="4"/>
        <v>-0.01342719333</v>
      </c>
      <c r="E34" s="1"/>
      <c r="F34" s="1"/>
      <c r="G34" s="111">
        <f t="shared" si="5"/>
        <v>29</v>
      </c>
      <c r="H34" s="111" t="s">
        <v>185</v>
      </c>
      <c r="I34" s="113">
        <v>-0.009</v>
      </c>
      <c r="J34" s="111">
        <v>3.8167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11">
        <f t="shared" si="3"/>
        <v>83</v>
      </c>
      <c r="B35" s="111" t="str">
        <f t="shared" si="1"/>
        <v>Dec 06, 2023</v>
      </c>
      <c r="C35" s="111">
        <f t="shared" si="2"/>
        <v>3.7345</v>
      </c>
      <c r="D35" s="3">
        <f t="shared" si="4"/>
        <v>-0.01308139535</v>
      </c>
      <c r="E35" s="1"/>
      <c r="F35" s="1"/>
      <c r="G35" s="111">
        <f t="shared" si="5"/>
        <v>30</v>
      </c>
      <c r="H35" s="111" t="s">
        <v>90</v>
      </c>
      <c r="I35" s="113">
        <v>0.0209</v>
      </c>
      <c r="J35" s="111">
        <v>3.8515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11">
        <f t="shared" si="3"/>
        <v>82</v>
      </c>
      <c r="B36" s="111" t="str">
        <f t="shared" si="1"/>
        <v>Dec 07, 2023</v>
      </c>
      <c r="C36" s="111">
        <f t="shared" si="2"/>
        <v>3.7975</v>
      </c>
      <c r="D36" s="3">
        <f t="shared" si="4"/>
        <v>0.01686972821</v>
      </c>
      <c r="E36" s="1"/>
      <c r="F36" s="1"/>
      <c r="G36" s="111">
        <f t="shared" si="5"/>
        <v>31</v>
      </c>
      <c r="H36" s="111" t="s">
        <v>91</v>
      </c>
      <c r="I36" s="113">
        <v>0.0196</v>
      </c>
      <c r="J36" s="111">
        <v>3.7725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1">
        <f t="shared" si="3"/>
        <v>81</v>
      </c>
      <c r="B37" s="111" t="str">
        <f t="shared" si="1"/>
        <v>Dec 08, 2023</v>
      </c>
      <c r="C37" s="111">
        <f t="shared" si="2"/>
        <v>3.8305</v>
      </c>
      <c r="D37" s="3">
        <f t="shared" si="4"/>
        <v>0.008689927584</v>
      </c>
      <c r="E37" s="1"/>
      <c r="F37" s="1"/>
      <c r="G37" s="111">
        <f t="shared" si="5"/>
        <v>32</v>
      </c>
      <c r="H37" s="111" t="s">
        <v>92</v>
      </c>
      <c r="I37" s="113">
        <v>-0.003</v>
      </c>
      <c r="J37" s="111">
        <v>3.7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11">
        <f t="shared" si="3"/>
        <v>80</v>
      </c>
      <c r="B38" s="111" t="str">
        <f t="shared" si="1"/>
        <v>Dec 11, 2023</v>
      </c>
      <c r="C38" s="111">
        <f t="shared" si="2"/>
        <v>3.7805</v>
      </c>
      <c r="D38" s="3">
        <f t="shared" si="4"/>
        <v>-0.01305312622</v>
      </c>
      <c r="E38" s="1"/>
      <c r="F38" s="1"/>
      <c r="G38" s="111">
        <f t="shared" si="5"/>
        <v>33</v>
      </c>
      <c r="H38" s="111" t="s">
        <v>93</v>
      </c>
      <c r="I38" s="113">
        <v>-0.0035</v>
      </c>
      <c r="J38" s="111">
        <v>3.711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11">
        <f t="shared" si="3"/>
        <v>79</v>
      </c>
      <c r="B39" s="111" t="str">
        <f t="shared" si="1"/>
        <v>Dec 12, 2023</v>
      </c>
      <c r="C39" s="111">
        <f t="shared" si="2"/>
        <v>3.7875</v>
      </c>
      <c r="D39" s="3">
        <f t="shared" si="4"/>
        <v>0.00185160693</v>
      </c>
      <c r="E39" s="1"/>
      <c r="F39" s="1"/>
      <c r="G39" s="111">
        <f t="shared" si="5"/>
        <v>34</v>
      </c>
      <c r="H39" s="111" t="s">
        <v>94</v>
      </c>
      <c r="I39" s="113">
        <v>0.0115</v>
      </c>
      <c r="J39" s="111">
        <v>3.724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11">
        <f t="shared" si="3"/>
        <v>78</v>
      </c>
      <c r="B40" s="111" t="str">
        <f t="shared" si="1"/>
        <v>Dec 13, 2023</v>
      </c>
      <c r="C40" s="111">
        <f t="shared" si="2"/>
        <v>3.7875</v>
      </c>
      <c r="D40" s="3">
        <f t="shared" si="4"/>
        <v>0</v>
      </c>
      <c r="E40" s="1"/>
      <c r="F40" s="1"/>
      <c r="G40" s="111">
        <f t="shared" si="5"/>
        <v>35</v>
      </c>
      <c r="H40" s="111" t="s">
        <v>95</v>
      </c>
      <c r="I40" s="113">
        <v>-0.0055</v>
      </c>
      <c r="J40" s="111">
        <v>3.6815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11">
        <f t="shared" si="3"/>
        <v>77</v>
      </c>
      <c r="B41" s="111" t="str">
        <f t="shared" si="1"/>
        <v>Dec 14, 2023</v>
      </c>
      <c r="C41" s="111">
        <f t="shared" si="2"/>
        <v>3.8925</v>
      </c>
      <c r="D41" s="3">
        <f t="shared" si="4"/>
        <v>0.02772277228</v>
      </c>
      <c r="E41" s="1"/>
      <c r="F41" s="1"/>
      <c r="G41" s="111">
        <f t="shared" si="5"/>
        <v>36</v>
      </c>
      <c r="H41" s="111" t="s">
        <v>96</v>
      </c>
      <c r="I41" s="113">
        <v>-0.009</v>
      </c>
      <c r="J41" s="111">
        <v>3.702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1">
        <f t="shared" si="3"/>
        <v>76</v>
      </c>
      <c r="B42" s="111" t="str">
        <f t="shared" si="1"/>
        <v>Dec 15, 2023</v>
      </c>
      <c r="C42" s="111">
        <f t="shared" si="2"/>
        <v>3.8905</v>
      </c>
      <c r="D42" s="3">
        <f t="shared" si="4"/>
        <v>-0.0005138086063</v>
      </c>
      <c r="E42" s="1"/>
      <c r="F42" s="1"/>
      <c r="G42" s="111">
        <f t="shared" si="5"/>
        <v>37</v>
      </c>
      <c r="H42" s="111" t="s">
        <v>97</v>
      </c>
      <c r="I42" s="113">
        <v>-0.0126</v>
      </c>
      <c r="J42" s="111">
        <v>3.7355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11">
        <f t="shared" si="3"/>
        <v>75</v>
      </c>
      <c r="B43" s="111" t="str">
        <f t="shared" si="1"/>
        <v>Dec 18, 2023</v>
      </c>
      <c r="C43" s="111">
        <f t="shared" si="2"/>
        <v>3.852</v>
      </c>
      <c r="D43" s="3">
        <f t="shared" si="4"/>
        <v>-0.00989590027</v>
      </c>
      <c r="E43" s="1"/>
      <c r="F43" s="1"/>
      <c r="G43" s="111">
        <f t="shared" si="5"/>
        <v>38</v>
      </c>
      <c r="H43" s="111" t="s">
        <v>98</v>
      </c>
      <c r="I43" s="113">
        <v>0.003</v>
      </c>
      <c r="J43" s="111">
        <v>3.783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1">
        <f t="shared" si="3"/>
        <v>74</v>
      </c>
      <c r="B44" s="111" t="str">
        <f t="shared" si="1"/>
        <v>Dec 19, 2023</v>
      </c>
      <c r="C44" s="111">
        <f t="shared" si="2"/>
        <v>3.898</v>
      </c>
      <c r="D44" s="3">
        <f t="shared" si="4"/>
        <v>0.01194184839</v>
      </c>
      <c r="E44" s="1"/>
      <c r="F44" s="1"/>
      <c r="G44" s="111">
        <f t="shared" si="5"/>
        <v>39</v>
      </c>
      <c r="H44" s="111" t="s">
        <v>99</v>
      </c>
      <c r="I44" s="113">
        <v>-0.0131</v>
      </c>
      <c r="J44" s="111">
        <v>3.7715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11">
        <f t="shared" si="3"/>
        <v>73</v>
      </c>
      <c r="B45" s="111" t="str">
        <f t="shared" si="1"/>
        <v>Dec 20, 2023</v>
      </c>
      <c r="C45" s="111">
        <f t="shared" si="2"/>
        <v>3.906</v>
      </c>
      <c r="D45" s="3">
        <f t="shared" si="4"/>
        <v>0.002052334531</v>
      </c>
      <c r="E45" s="1"/>
      <c r="F45" s="1"/>
      <c r="G45" s="111">
        <f t="shared" si="5"/>
        <v>40</v>
      </c>
      <c r="H45" s="111" t="s">
        <v>100</v>
      </c>
      <c r="I45" s="113">
        <v>-0.0083</v>
      </c>
      <c r="J45" s="111">
        <v>3.8215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1">
        <f t="shared" si="3"/>
        <v>72</v>
      </c>
      <c r="B46" s="111" t="str">
        <f t="shared" si="1"/>
        <v>Dec 21, 2023</v>
      </c>
      <c r="C46" s="111">
        <f t="shared" si="2"/>
        <v>3.9175</v>
      </c>
      <c r="D46" s="3">
        <f t="shared" si="4"/>
        <v>0.002944188428</v>
      </c>
      <c r="E46" s="1"/>
      <c r="F46" s="1"/>
      <c r="G46" s="111">
        <f t="shared" si="5"/>
        <v>41</v>
      </c>
      <c r="H46" s="111" t="s">
        <v>101</v>
      </c>
      <c r="I46" s="113">
        <v>-0.0134</v>
      </c>
      <c r="J46" s="111">
        <v>3.8535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1">
        <f t="shared" si="3"/>
        <v>71</v>
      </c>
      <c r="B47" s="111" t="str">
        <f t="shared" si="1"/>
        <v>Dec 22, 2023</v>
      </c>
      <c r="C47" s="111">
        <f t="shared" si="2"/>
        <v>3.905</v>
      </c>
      <c r="D47" s="3">
        <f t="shared" si="4"/>
        <v>-0.003190810466</v>
      </c>
      <c r="E47" s="1"/>
      <c r="F47" s="1"/>
      <c r="G47" s="111">
        <f t="shared" si="5"/>
        <v>42</v>
      </c>
      <c r="H47" s="111" t="s">
        <v>102</v>
      </c>
      <c r="I47" s="113">
        <v>-0.0013</v>
      </c>
      <c r="J47" s="111">
        <v>3.906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1">
        <f t="shared" si="3"/>
        <v>70</v>
      </c>
      <c r="B48" s="111" t="str">
        <f t="shared" si="1"/>
        <v>Dec 25, 2023</v>
      </c>
      <c r="C48" s="111">
        <f t="shared" si="2"/>
        <v>3.9082</v>
      </c>
      <c r="D48" s="3">
        <f t="shared" si="4"/>
        <v>0.0008194622279</v>
      </c>
      <c r="E48" s="1"/>
      <c r="F48" s="1"/>
      <c r="G48" s="111">
        <f t="shared" si="5"/>
        <v>43</v>
      </c>
      <c r="H48" s="111" t="s">
        <v>103</v>
      </c>
      <c r="I48" s="113">
        <v>0.0082</v>
      </c>
      <c r="J48" s="111">
        <v>3.911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1">
        <f t="shared" si="3"/>
        <v>69</v>
      </c>
      <c r="B49" s="111" t="str">
        <f t="shared" si="1"/>
        <v>Dec 26, 2023</v>
      </c>
      <c r="C49" s="111">
        <f t="shared" si="2"/>
        <v>3.902</v>
      </c>
      <c r="D49" s="3">
        <f t="shared" si="4"/>
        <v>-0.001586408065</v>
      </c>
      <c r="E49" s="1"/>
      <c r="F49" s="1"/>
      <c r="G49" s="111">
        <f t="shared" si="5"/>
        <v>44</v>
      </c>
      <c r="H49" s="111" t="s">
        <v>104</v>
      </c>
      <c r="I49" s="113">
        <v>0.007</v>
      </c>
      <c r="J49" s="111">
        <v>3.879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1">
        <f t="shared" si="3"/>
        <v>68</v>
      </c>
      <c r="B50" s="111" t="str">
        <f t="shared" si="1"/>
        <v>Dec 27, 2023</v>
      </c>
      <c r="C50" s="111">
        <f t="shared" si="2"/>
        <v>3.956</v>
      </c>
      <c r="D50" s="3">
        <f t="shared" si="4"/>
        <v>0.01383905689</v>
      </c>
      <c r="E50" s="1"/>
      <c r="F50" s="1"/>
      <c r="G50" s="111">
        <f t="shared" si="5"/>
        <v>45</v>
      </c>
      <c r="H50" s="111" t="s">
        <v>175</v>
      </c>
      <c r="I50" s="113">
        <v>-0.0044</v>
      </c>
      <c r="J50" s="111">
        <v>3.852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11">
        <f t="shared" si="3"/>
        <v>67</v>
      </c>
      <c r="B51" s="111" t="str">
        <f t="shared" si="1"/>
        <v>Dec 28, 2023</v>
      </c>
      <c r="C51" s="111">
        <f t="shared" si="2"/>
        <v>3.9245</v>
      </c>
      <c r="D51" s="3">
        <f t="shared" si="4"/>
        <v>-0.007962588473</v>
      </c>
      <c r="E51" s="1"/>
      <c r="F51" s="1"/>
      <c r="G51" s="111">
        <f t="shared" si="5"/>
        <v>46</v>
      </c>
      <c r="H51" s="111" t="s">
        <v>105</v>
      </c>
      <c r="I51" s="113">
        <v>-0.0044</v>
      </c>
      <c r="J51" s="111">
        <v>3.869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1">
        <f t="shared" si="3"/>
        <v>66</v>
      </c>
      <c r="B52" s="111" t="str">
        <f t="shared" si="1"/>
        <v>Dec 29, 2023</v>
      </c>
      <c r="C52" s="111">
        <f t="shared" si="2"/>
        <v>3.8915</v>
      </c>
      <c r="D52" s="3">
        <f t="shared" si="4"/>
        <v>-0.008408714486</v>
      </c>
      <c r="E52" s="1"/>
      <c r="F52" s="1"/>
      <c r="G52" s="111">
        <f t="shared" si="5"/>
        <v>47</v>
      </c>
      <c r="H52" s="111" t="s">
        <v>106</v>
      </c>
      <c r="I52" s="113">
        <v>0.0244</v>
      </c>
      <c r="J52" s="111">
        <v>3.886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11">
        <f t="shared" si="3"/>
        <v>65</v>
      </c>
      <c r="B53" s="111" t="str">
        <f t="shared" si="1"/>
        <v>Jan 01, 2024</v>
      </c>
      <c r="C53" s="111">
        <f t="shared" si="2"/>
        <v>3.8988</v>
      </c>
      <c r="D53" s="3">
        <f t="shared" si="4"/>
        <v>0.001875883335</v>
      </c>
      <c r="E53" s="1"/>
      <c r="F53" s="1"/>
      <c r="G53" s="111">
        <f t="shared" si="5"/>
        <v>48</v>
      </c>
      <c r="H53" s="111" t="s">
        <v>107</v>
      </c>
      <c r="I53" s="113">
        <v>0.008</v>
      </c>
      <c r="J53" s="111">
        <v>3.7935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1">
        <f t="shared" si="3"/>
        <v>64</v>
      </c>
      <c r="B54" s="111" t="str">
        <f t="shared" si="1"/>
        <v>Jan 02, 2024</v>
      </c>
      <c r="C54" s="111">
        <f t="shared" si="2"/>
        <v>3.8805</v>
      </c>
      <c r="D54" s="3">
        <f t="shared" si="4"/>
        <v>-0.004693751924</v>
      </c>
      <c r="E54" s="1"/>
      <c r="F54" s="1"/>
      <c r="G54" s="111">
        <f t="shared" si="5"/>
        <v>49</v>
      </c>
      <c r="H54" s="111" t="s">
        <v>176</v>
      </c>
      <c r="I54" s="113">
        <v>-0.0061</v>
      </c>
      <c r="J54" s="111">
        <v>3.7635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1">
        <f t="shared" si="3"/>
        <v>63</v>
      </c>
      <c r="B55" s="111" t="str">
        <f t="shared" si="1"/>
        <v>Jan 03, 2024</v>
      </c>
      <c r="C55" s="111">
        <f t="shared" si="2"/>
        <v>3.8615</v>
      </c>
      <c r="D55" s="3">
        <f t="shared" si="4"/>
        <v>-0.004896276253</v>
      </c>
      <c r="E55" s="1"/>
      <c r="F55" s="1"/>
      <c r="G55" s="111">
        <f t="shared" si="5"/>
        <v>50</v>
      </c>
      <c r="H55" s="111" t="s">
        <v>108</v>
      </c>
      <c r="I55" s="113">
        <v>0.0111</v>
      </c>
      <c r="J55" s="111">
        <v>3.7865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1">
        <f t="shared" si="3"/>
        <v>62</v>
      </c>
      <c r="B56" s="111" t="str">
        <f t="shared" si="1"/>
        <v>Jan 04, 2024</v>
      </c>
      <c r="C56" s="111">
        <f t="shared" si="2"/>
        <v>3.844</v>
      </c>
      <c r="D56" s="3">
        <f t="shared" si="4"/>
        <v>-0.004531917649</v>
      </c>
      <c r="E56" s="1"/>
      <c r="F56" s="1"/>
      <c r="G56" s="111">
        <f t="shared" si="5"/>
        <v>51</v>
      </c>
      <c r="H56" s="111" t="s">
        <v>109</v>
      </c>
      <c r="I56" s="113">
        <v>0.0032</v>
      </c>
      <c r="J56" s="111">
        <v>3.745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1">
        <f t="shared" si="3"/>
        <v>61</v>
      </c>
      <c r="B57" s="111" t="str">
        <f t="shared" si="1"/>
        <v>Jan 05, 2024</v>
      </c>
      <c r="C57" s="111">
        <f t="shared" si="2"/>
        <v>3.806</v>
      </c>
      <c r="D57" s="3">
        <f t="shared" si="4"/>
        <v>-0.0098855359</v>
      </c>
      <c r="E57" s="1"/>
      <c r="F57" s="1"/>
      <c r="G57" s="111">
        <f t="shared" si="5"/>
        <v>52</v>
      </c>
      <c r="H57" s="111" t="s">
        <v>110</v>
      </c>
      <c r="I57" s="113">
        <v>-0.0089</v>
      </c>
      <c r="J57" s="111">
        <v>3.733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1">
        <f t="shared" si="3"/>
        <v>60</v>
      </c>
      <c r="B58" s="111" t="str">
        <f t="shared" si="1"/>
        <v>Jan 08, 2024</v>
      </c>
      <c r="C58" s="111">
        <f t="shared" si="2"/>
        <v>3.81</v>
      </c>
      <c r="D58" s="3">
        <f t="shared" si="4"/>
        <v>0.001050972149</v>
      </c>
      <c r="E58" s="1"/>
      <c r="F58" s="1"/>
      <c r="G58" s="111">
        <f t="shared" si="5"/>
        <v>53</v>
      </c>
      <c r="H58" s="111" t="s">
        <v>111</v>
      </c>
      <c r="I58" s="113">
        <v>-0.0031</v>
      </c>
      <c r="J58" s="111">
        <v>3.7665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1">
        <f t="shared" si="3"/>
        <v>59</v>
      </c>
      <c r="B59" s="111" t="str">
        <f t="shared" si="1"/>
        <v>Jan 09, 2024</v>
      </c>
      <c r="C59" s="111">
        <f t="shared" si="2"/>
        <v>3.7585</v>
      </c>
      <c r="D59" s="3">
        <f t="shared" si="4"/>
        <v>-0.01351706037</v>
      </c>
      <c r="E59" s="1"/>
      <c r="F59" s="1"/>
      <c r="G59" s="111">
        <f t="shared" si="5"/>
        <v>54</v>
      </c>
      <c r="H59" s="111" t="s">
        <v>112</v>
      </c>
      <c r="I59" s="113">
        <v>0.0074</v>
      </c>
      <c r="J59" s="111">
        <v>3.7782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1">
        <f t="shared" si="3"/>
        <v>58</v>
      </c>
      <c r="B60" s="111" t="str">
        <f t="shared" si="1"/>
        <v>Jan 10, 2024</v>
      </c>
      <c r="C60" s="111">
        <f t="shared" si="2"/>
        <v>3.781</v>
      </c>
      <c r="D60" s="3">
        <f t="shared" si="4"/>
        <v>0.005986430757</v>
      </c>
      <c r="E60" s="1"/>
      <c r="F60" s="1"/>
      <c r="G60" s="111">
        <f t="shared" si="5"/>
        <v>55</v>
      </c>
      <c r="H60" s="111" t="s">
        <v>186</v>
      </c>
      <c r="I60" s="113">
        <v>0.0026</v>
      </c>
      <c r="J60" s="111">
        <v>3.7503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1">
        <f t="shared" si="3"/>
        <v>57</v>
      </c>
      <c r="B61" s="111" t="str">
        <f t="shared" si="1"/>
        <v>Jan 11, 2024</v>
      </c>
      <c r="C61" s="111">
        <f t="shared" si="2"/>
        <v>3.7765</v>
      </c>
      <c r="D61" s="3">
        <f t="shared" si="4"/>
        <v>-0.001190161333</v>
      </c>
      <c r="E61" s="1"/>
      <c r="F61" s="1"/>
      <c r="G61" s="111">
        <f t="shared" si="5"/>
        <v>56</v>
      </c>
      <c r="H61" s="111" t="s">
        <v>113</v>
      </c>
      <c r="I61" s="113">
        <v>-0.0095</v>
      </c>
      <c r="J61" s="111">
        <v>3.7405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11">
        <f t="shared" si="3"/>
        <v>56</v>
      </c>
      <c r="B62" s="111" t="str">
        <f t="shared" si="1"/>
        <v>Jan 12, 2024</v>
      </c>
      <c r="C62" s="111">
        <f t="shared" si="2"/>
        <v>3.7405</v>
      </c>
      <c r="D62" s="3">
        <f t="shared" si="4"/>
        <v>-0.009532636039</v>
      </c>
      <c r="E62" s="1"/>
      <c r="F62" s="1"/>
      <c r="G62" s="111">
        <f t="shared" si="5"/>
        <v>57</v>
      </c>
      <c r="H62" s="111" t="s">
        <v>114</v>
      </c>
      <c r="I62" s="113">
        <v>-0.0012</v>
      </c>
      <c r="J62" s="111">
        <v>3.7765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1">
        <f t="shared" si="3"/>
        <v>55</v>
      </c>
      <c r="B63" s="111" t="str">
        <f t="shared" si="1"/>
        <v>Jan 14, 2024</v>
      </c>
      <c r="C63" s="111">
        <f t="shared" si="2"/>
        <v>3.7503</v>
      </c>
      <c r="D63" s="3">
        <f t="shared" si="4"/>
        <v>0.002619970592</v>
      </c>
      <c r="E63" s="1"/>
      <c r="F63" s="1"/>
      <c r="G63" s="111">
        <f t="shared" si="5"/>
        <v>58</v>
      </c>
      <c r="H63" s="111" t="s">
        <v>115</v>
      </c>
      <c r="I63" s="113">
        <v>0.006</v>
      </c>
      <c r="J63" s="111">
        <v>3.781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1">
        <f t="shared" si="3"/>
        <v>54</v>
      </c>
      <c r="B64" s="111" t="str">
        <f t="shared" si="1"/>
        <v>Jan 15, 2024</v>
      </c>
      <c r="C64" s="111">
        <f t="shared" si="2"/>
        <v>3.7782</v>
      </c>
      <c r="D64" s="3">
        <f t="shared" si="4"/>
        <v>0.007439404848</v>
      </c>
      <c r="E64" s="1"/>
      <c r="F64" s="1"/>
      <c r="G64" s="111">
        <f t="shared" si="5"/>
        <v>59</v>
      </c>
      <c r="H64" s="111" t="s">
        <v>116</v>
      </c>
      <c r="I64" s="113">
        <v>-0.0135</v>
      </c>
      <c r="J64" s="111">
        <v>3.7585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1">
        <f t="shared" si="3"/>
        <v>53</v>
      </c>
      <c r="B65" s="111" t="str">
        <f t="shared" si="1"/>
        <v>Jan 16, 2024</v>
      </c>
      <c r="C65" s="111">
        <f t="shared" si="2"/>
        <v>3.7665</v>
      </c>
      <c r="D65" s="3">
        <f t="shared" si="4"/>
        <v>-0.00309671272</v>
      </c>
      <c r="E65" s="1"/>
      <c r="F65" s="1"/>
      <c r="G65" s="111">
        <f t="shared" si="5"/>
        <v>60</v>
      </c>
      <c r="H65" s="111" t="s">
        <v>117</v>
      </c>
      <c r="I65" s="113">
        <v>0.0011</v>
      </c>
      <c r="J65" s="111">
        <v>3.81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1">
        <f t="shared" si="3"/>
        <v>52</v>
      </c>
      <c r="B66" s="111" t="str">
        <f t="shared" si="1"/>
        <v>Jan 17, 2024</v>
      </c>
      <c r="C66" s="111">
        <f t="shared" si="2"/>
        <v>3.733</v>
      </c>
      <c r="D66" s="3">
        <f t="shared" si="4"/>
        <v>-0.008894198858</v>
      </c>
      <c r="E66" s="1"/>
      <c r="F66" s="1"/>
      <c r="G66" s="111">
        <f t="shared" si="5"/>
        <v>61</v>
      </c>
      <c r="H66" s="111" t="s">
        <v>118</v>
      </c>
      <c r="I66" s="113">
        <v>-0.0099</v>
      </c>
      <c r="J66" s="111">
        <v>3.806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1">
        <f t="shared" si="3"/>
        <v>51</v>
      </c>
      <c r="B67" s="111" t="str">
        <f t="shared" si="1"/>
        <v>Jan 18, 2024</v>
      </c>
      <c r="C67" s="111">
        <f t="shared" si="2"/>
        <v>3.745</v>
      </c>
      <c r="D67" s="3">
        <f t="shared" si="4"/>
        <v>0.00321457273</v>
      </c>
      <c r="E67" s="1"/>
      <c r="F67" s="1"/>
      <c r="G67" s="111">
        <f t="shared" si="5"/>
        <v>62</v>
      </c>
      <c r="H67" s="111" t="s">
        <v>119</v>
      </c>
      <c r="I67" s="113">
        <v>-0.0045</v>
      </c>
      <c r="J67" s="111">
        <v>3.844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1">
        <f t="shared" si="3"/>
        <v>50</v>
      </c>
      <c r="B68" s="111" t="str">
        <f t="shared" si="1"/>
        <v>Jan 19, 2024</v>
      </c>
      <c r="C68" s="111">
        <f t="shared" si="2"/>
        <v>3.7865</v>
      </c>
      <c r="D68" s="3">
        <f t="shared" si="4"/>
        <v>0.01108144192</v>
      </c>
      <c r="E68" s="1"/>
      <c r="F68" s="1"/>
      <c r="G68" s="111">
        <f t="shared" si="5"/>
        <v>63</v>
      </c>
      <c r="H68" s="111" t="s">
        <v>120</v>
      </c>
      <c r="I68" s="113">
        <v>-0.0049</v>
      </c>
      <c r="J68" s="111">
        <v>3.8615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11">
        <f t="shared" si="3"/>
        <v>49</v>
      </c>
      <c r="B69" s="111" t="str">
        <f t="shared" si="1"/>
        <v>Jan 22, 2024</v>
      </c>
      <c r="C69" s="111">
        <f t="shared" si="2"/>
        <v>3.7635</v>
      </c>
      <c r="D69" s="3">
        <f t="shared" si="4"/>
        <v>-0.006074211013</v>
      </c>
      <c r="E69" s="1"/>
      <c r="F69" s="1"/>
      <c r="G69" s="111">
        <f t="shared" si="5"/>
        <v>64</v>
      </c>
      <c r="H69" s="111" t="s">
        <v>121</v>
      </c>
      <c r="I69" s="113">
        <v>-0.0047</v>
      </c>
      <c r="J69" s="111">
        <v>3.8805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11">
        <f t="shared" si="3"/>
        <v>48</v>
      </c>
      <c r="B70" s="111" t="str">
        <f t="shared" si="1"/>
        <v>Jan 23, 2024</v>
      </c>
      <c r="C70" s="111">
        <f t="shared" si="2"/>
        <v>3.7935</v>
      </c>
      <c r="D70" s="3">
        <f t="shared" si="4"/>
        <v>0.007971303308</v>
      </c>
      <c r="E70" s="1"/>
      <c r="F70" s="1"/>
      <c r="G70" s="111">
        <f t="shared" si="5"/>
        <v>65</v>
      </c>
      <c r="H70" s="111" t="s">
        <v>122</v>
      </c>
      <c r="I70" s="113">
        <v>0.0019</v>
      </c>
      <c r="J70" s="111">
        <v>3.8988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11">
        <f t="shared" si="3"/>
        <v>47</v>
      </c>
      <c r="B71" s="111" t="str">
        <f t="shared" si="1"/>
        <v>Jan 24, 2024</v>
      </c>
      <c r="C71" s="111">
        <f t="shared" si="2"/>
        <v>3.886</v>
      </c>
      <c r="D71" s="3">
        <f t="shared" si="4"/>
        <v>0.02438381442</v>
      </c>
      <c r="E71" s="1"/>
      <c r="F71" s="1"/>
      <c r="G71" s="111">
        <f t="shared" si="5"/>
        <v>66</v>
      </c>
      <c r="H71" s="111" t="s">
        <v>123</v>
      </c>
      <c r="I71" s="113">
        <v>-0.0084</v>
      </c>
      <c r="J71" s="111">
        <v>3.8915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11">
        <f t="shared" si="3"/>
        <v>46</v>
      </c>
      <c r="B72" s="111" t="str">
        <f t="shared" si="1"/>
        <v>Jan 25, 2024</v>
      </c>
      <c r="C72" s="111">
        <f t="shared" si="2"/>
        <v>3.869</v>
      </c>
      <c r="D72" s="3">
        <f t="shared" si="4"/>
        <v>-0.004374678332</v>
      </c>
      <c r="E72" s="1"/>
      <c r="F72" s="1"/>
      <c r="G72" s="111">
        <f t="shared" si="5"/>
        <v>67</v>
      </c>
      <c r="H72" s="111" t="s">
        <v>124</v>
      </c>
      <c r="I72" s="113">
        <v>-0.008</v>
      </c>
      <c r="J72" s="111">
        <v>3.9245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11">
        <f t="shared" si="3"/>
        <v>45</v>
      </c>
      <c r="B73" s="111" t="str">
        <f t="shared" si="1"/>
        <v>Jan 26, 2024</v>
      </c>
      <c r="C73" s="111">
        <f t="shared" si="2"/>
        <v>3.852</v>
      </c>
      <c r="D73" s="3">
        <f t="shared" si="4"/>
        <v>-0.004393900233</v>
      </c>
      <c r="E73" s="1"/>
      <c r="F73" s="1"/>
      <c r="G73" s="111">
        <f t="shared" si="5"/>
        <v>68</v>
      </c>
      <c r="H73" s="111" t="s">
        <v>125</v>
      </c>
      <c r="I73" s="113">
        <v>0.0138</v>
      </c>
      <c r="J73" s="111">
        <v>3.956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11">
        <f t="shared" si="3"/>
        <v>44</v>
      </c>
      <c r="B74" s="111" t="str">
        <f t="shared" si="1"/>
        <v>Jan 29, 2024</v>
      </c>
      <c r="C74" s="111">
        <f t="shared" si="2"/>
        <v>3.879</v>
      </c>
      <c r="D74" s="3">
        <f t="shared" si="4"/>
        <v>0.007009345794</v>
      </c>
      <c r="E74" s="1"/>
      <c r="F74" s="1"/>
      <c r="G74" s="111">
        <f t="shared" si="5"/>
        <v>69</v>
      </c>
      <c r="H74" s="111" t="s">
        <v>126</v>
      </c>
      <c r="I74" s="113">
        <v>-0.0016</v>
      </c>
      <c r="J74" s="111">
        <v>3.902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1">
        <f t="shared" si="3"/>
        <v>43</v>
      </c>
      <c r="B75" s="111" t="str">
        <f t="shared" si="1"/>
        <v>Jan 30, 2024</v>
      </c>
      <c r="C75" s="111">
        <f t="shared" si="2"/>
        <v>3.911</v>
      </c>
      <c r="D75" s="3">
        <f t="shared" si="4"/>
        <v>0.008249548853</v>
      </c>
      <c r="E75" s="1"/>
      <c r="F75" s="1"/>
      <c r="G75" s="111">
        <f t="shared" si="5"/>
        <v>70</v>
      </c>
      <c r="H75" s="111" t="s">
        <v>177</v>
      </c>
      <c r="I75" s="113">
        <v>8.0E-4</v>
      </c>
      <c r="J75" s="111">
        <v>3.9082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11">
        <f t="shared" si="3"/>
        <v>42</v>
      </c>
      <c r="B76" s="111" t="str">
        <f t="shared" si="1"/>
        <v>Jan 31, 2024</v>
      </c>
      <c r="C76" s="111">
        <f t="shared" si="2"/>
        <v>3.906</v>
      </c>
      <c r="D76" s="3">
        <f t="shared" si="4"/>
        <v>-0.00127844541</v>
      </c>
      <c r="E76" s="1"/>
      <c r="F76" s="1"/>
      <c r="G76" s="111">
        <f t="shared" si="5"/>
        <v>71</v>
      </c>
      <c r="H76" s="111" t="s">
        <v>127</v>
      </c>
      <c r="I76" s="113">
        <v>-0.0032</v>
      </c>
      <c r="J76" s="111">
        <v>3.905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11">
        <f t="shared" si="3"/>
        <v>41</v>
      </c>
      <c r="B77" s="111" t="str">
        <f t="shared" si="1"/>
        <v>Feb 01, 2024</v>
      </c>
      <c r="C77" s="111">
        <f t="shared" si="2"/>
        <v>3.8535</v>
      </c>
      <c r="D77" s="3">
        <f t="shared" si="4"/>
        <v>-0.01344086022</v>
      </c>
      <c r="E77" s="1"/>
      <c r="F77" s="1"/>
      <c r="G77" s="111">
        <f t="shared" si="5"/>
        <v>72</v>
      </c>
      <c r="H77" s="111" t="s">
        <v>128</v>
      </c>
      <c r="I77" s="113">
        <v>0.0029</v>
      </c>
      <c r="J77" s="111">
        <v>3.9175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11">
        <f t="shared" si="3"/>
        <v>40</v>
      </c>
      <c r="B78" s="111" t="str">
        <f t="shared" si="1"/>
        <v>Feb 02, 2024</v>
      </c>
      <c r="C78" s="111">
        <f t="shared" si="2"/>
        <v>3.8215</v>
      </c>
      <c r="D78" s="3">
        <f t="shared" si="4"/>
        <v>-0.008304139094</v>
      </c>
      <c r="E78" s="1"/>
      <c r="F78" s="1"/>
      <c r="G78" s="111">
        <f t="shared" si="5"/>
        <v>73</v>
      </c>
      <c r="H78" s="111" t="s">
        <v>129</v>
      </c>
      <c r="I78" s="113">
        <v>0.0021</v>
      </c>
      <c r="J78" s="111">
        <v>3.906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11">
        <f t="shared" si="3"/>
        <v>39</v>
      </c>
      <c r="B79" s="111" t="str">
        <f t="shared" si="1"/>
        <v>Feb 05, 2024</v>
      </c>
      <c r="C79" s="111">
        <f t="shared" si="2"/>
        <v>3.7715</v>
      </c>
      <c r="D79" s="3">
        <f t="shared" si="4"/>
        <v>-0.01308386759</v>
      </c>
      <c r="E79" s="1"/>
      <c r="F79" s="1"/>
      <c r="G79" s="111">
        <f t="shared" si="5"/>
        <v>74</v>
      </c>
      <c r="H79" s="111" t="s">
        <v>130</v>
      </c>
      <c r="I79" s="113">
        <v>0.0119</v>
      </c>
      <c r="J79" s="111">
        <v>3.898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11">
        <f t="shared" si="3"/>
        <v>38</v>
      </c>
      <c r="B80" s="111" t="str">
        <f t="shared" si="1"/>
        <v>Feb 06, 2024</v>
      </c>
      <c r="C80" s="111">
        <f t="shared" si="2"/>
        <v>3.783</v>
      </c>
      <c r="D80" s="3">
        <f t="shared" si="4"/>
        <v>0.003049184675</v>
      </c>
      <c r="E80" s="1"/>
      <c r="F80" s="1"/>
      <c r="G80" s="111">
        <f t="shared" si="5"/>
        <v>75</v>
      </c>
      <c r="H80" s="111" t="s">
        <v>131</v>
      </c>
      <c r="I80" s="113">
        <v>-0.0099</v>
      </c>
      <c r="J80" s="111">
        <v>3.852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11">
        <f t="shared" si="3"/>
        <v>37</v>
      </c>
      <c r="B81" s="111" t="str">
        <f t="shared" si="1"/>
        <v>Feb 07, 2024</v>
      </c>
      <c r="C81" s="111">
        <f t="shared" si="2"/>
        <v>3.7355</v>
      </c>
      <c r="D81" s="3">
        <f t="shared" si="4"/>
        <v>-0.01255617235</v>
      </c>
      <c r="E81" s="1"/>
      <c r="F81" s="1"/>
      <c r="G81" s="111">
        <f t="shared" si="5"/>
        <v>76</v>
      </c>
      <c r="H81" s="111" t="s">
        <v>132</v>
      </c>
      <c r="I81" s="113">
        <v>-5.0E-4</v>
      </c>
      <c r="J81" s="111">
        <v>3.8905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11">
        <f t="shared" si="3"/>
        <v>36</v>
      </c>
      <c r="B82" s="111" t="str">
        <f t="shared" si="1"/>
        <v>Feb 08, 2024</v>
      </c>
      <c r="C82" s="111">
        <f t="shared" si="2"/>
        <v>3.702</v>
      </c>
      <c r="D82" s="3">
        <f t="shared" si="4"/>
        <v>-0.008968009637</v>
      </c>
      <c r="E82" s="1"/>
      <c r="F82" s="1"/>
      <c r="G82" s="111">
        <f t="shared" si="5"/>
        <v>77</v>
      </c>
      <c r="H82" s="111" t="s">
        <v>133</v>
      </c>
      <c r="I82" s="113">
        <v>0.0277</v>
      </c>
      <c r="J82" s="111">
        <v>3.8925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11">
        <f t="shared" si="3"/>
        <v>35</v>
      </c>
      <c r="B83" s="111" t="str">
        <f t="shared" si="1"/>
        <v>Feb 09, 2024</v>
      </c>
      <c r="C83" s="111">
        <f t="shared" si="2"/>
        <v>3.6815</v>
      </c>
      <c r="D83" s="3">
        <f t="shared" si="4"/>
        <v>-0.005537547272</v>
      </c>
      <c r="E83" s="1"/>
      <c r="F83" s="1"/>
      <c r="G83" s="111">
        <f t="shared" si="5"/>
        <v>78</v>
      </c>
      <c r="H83" s="111" t="s">
        <v>134</v>
      </c>
      <c r="I83" s="113">
        <v>0.0</v>
      </c>
      <c r="J83" s="111">
        <v>3.7875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11">
        <f t="shared" si="3"/>
        <v>34</v>
      </c>
      <c r="B84" s="111" t="str">
        <f t="shared" si="1"/>
        <v>Feb 12, 2024</v>
      </c>
      <c r="C84" s="111">
        <f t="shared" si="2"/>
        <v>3.724</v>
      </c>
      <c r="D84" s="3">
        <f t="shared" si="4"/>
        <v>0.01154420752</v>
      </c>
      <c r="E84" s="1"/>
      <c r="F84" s="1"/>
      <c r="G84" s="111">
        <f t="shared" si="5"/>
        <v>79</v>
      </c>
      <c r="H84" s="111" t="s">
        <v>135</v>
      </c>
      <c r="I84" s="113">
        <v>0.0019</v>
      </c>
      <c r="J84" s="111">
        <v>3.7875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1">
        <f t="shared" si="3"/>
        <v>33</v>
      </c>
      <c r="B85" s="111" t="str">
        <f t="shared" si="1"/>
        <v>Feb 13, 2024</v>
      </c>
      <c r="C85" s="111">
        <f t="shared" si="2"/>
        <v>3.711</v>
      </c>
      <c r="D85" s="3">
        <f t="shared" si="4"/>
        <v>-0.003490870032</v>
      </c>
      <c r="E85" s="1"/>
      <c r="F85" s="1"/>
      <c r="G85" s="111">
        <f t="shared" si="5"/>
        <v>80</v>
      </c>
      <c r="H85" s="111" t="s">
        <v>136</v>
      </c>
      <c r="I85" s="113">
        <v>-0.0131</v>
      </c>
      <c r="J85" s="111">
        <v>3.7805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11">
        <f t="shared" si="3"/>
        <v>32</v>
      </c>
      <c r="B86" s="111" t="str">
        <f t="shared" si="1"/>
        <v>Feb 14, 2024</v>
      </c>
      <c r="C86" s="111">
        <f t="shared" si="2"/>
        <v>3.7</v>
      </c>
      <c r="D86" s="3">
        <f t="shared" si="4"/>
        <v>-0.002964160604</v>
      </c>
      <c r="E86" s="1"/>
      <c r="F86" s="1"/>
      <c r="G86" s="111">
        <f t="shared" si="5"/>
        <v>81</v>
      </c>
      <c r="H86" s="111" t="s">
        <v>137</v>
      </c>
      <c r="I86" s="113">
        <v>0.0087</v>
      </c>
      <c r="J86" s="111">
        <v>3.8305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11">
        <f t="shared" si="3"/>
        <v>31</v>
      </c>
      <c r="B87" s="111" t="str">
        <f t="shared" si="1"/>
        <v>Feb 15, 2024</v>
      </c>
      <c r="C87" s="111">
        <f t="shared" si="2"/>
        <v>3.7725</v>
      </c>
      <c r="D87" s="3">
        <f t="shared" si="4"/>
        <v>0.01959459459</v>
      </c>
      <c r="E87" s="1"/>
      <c r="F87" s="1"/>
      <c r="G87" s="111">
        <f t="shared" si="5"/>
        <v>82</v>
      </c>
      <c r="H87" s="111" t="s">
        <v>138</v>
      </c>
      <c r="I87" s="113">
        <v>0.0169</v>
      </c>
      <c r="J87" s="111">
        <v>3.7975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1">
        <f t="shared" si="3"/>
        <v>30</v>
      </c>
      <c r="B88" s="111" t="str">
        <f t="shared" si="1"/>
        <v>Feb 16, 2024</v>
      </c>
      <c r="C88" s="111">
        <f t="shared" si="2"/>
        <v>3.8515</v>
      </c>
      <c r="D88" s="3">
        <f t="shared" si="4"/>
        <v>0.02094102054</v>
      </c>
      <c r="E88" s="1"/>
      <c r="F88" s="1"/>
      <c r="G88" s="111">
        <f t="shared" si="5"/>
        <v>83</v>
      </c>
      <c r="H88" s="111" t="s">
        <v>139</v>
      </c>
      <c r="I88" s="113">
        <v>-0.0131</v>
      </c>
      <c r="J88" s="111">
        <v>3.7345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11">
        <f t="shared" si="3"/>
        <v>29</v>
      </c>
      <c r="B89" s="111" t="str">
        <f t="shared" si="1"/>
        <v>Feb 18, 2024</v>
      </c>
      <c r="C89" s="111">
        <f t="shared" si="2"/>
        <v>3.8167</v>
      </c>
      <c r="D89" s="3">
        <f t="shared" si="4"/>
        <v>-0.009035440737</v>
      </c>
      <c r="E89" s="1"/>
      <c r="F89" s="1"/>
      <c r="G89" s="111">
        <f t="shared" si="5"/>
        <v>84</v>
      </c>
      <c r="H89" s="111" t="s">
        <v>140</v>
      </c>
      <c r="I89" s="113">
        <v>-0.0134</v>
      </c>
      <c r="J89" s="111">
        <v>3.784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1">
        <f t="shared" si="3"/>
        <v>28</v>
      </c>
      <c r="B90" s="111" t="str">
        <f t="shared" si="1"/>
        <v>Feb 19, 2024</v>
      </c>
      <c r="C90" s="111">
        <f t="shared" si="2"/>
        <v>3.811</v>
      </c>
      <c r="D90" s="3">
        <f t="shared" si="4"/>
        <v>-0.001493436739</v>
      </c>
      <c r="E90" s="1"/>
      <c r="F90" s="1"/>
      <c r="G90" s="111">
        <f t="shared" si="5"/>
        <v>85</v>
      </c>
      <c r="H90" s="111" t="s">
        <v>141</v>
      </c>
      <c r="I90" s="113">
        <v>-0.0244</v>
      </c>
      <c r="J90" s="111">
        <v>3.8355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1">
        <f t="shared" si="3"/>
        <v>27</v>
      </c>
      <c r="B91" s="111" t="str">
        <f t="shared" si="1"/>
        <v>Feb 20, 2024</v>
      </c>
      <c r="C91" s="111">
        <f t="shared" si="2"/>
        <v>3.8755</v>
      </c>
      <c r="D91" s="3">
        <f t="shared" si="4"/>
        <v>0.01692469168</v>
      </c>
      <c r="E91" s="1"/>
      <c r="F91" s="1"/>
      <c r="G91" s="111">
        <f t="shared" si="5"/>
        <v>86</v>
      </c>
      <c r="H91" s="111" t="s">
        <v>142</v>
      </c>
      <c r="I91" s="113">
        <v>0.021</v>
      </c>
      <c r="J91" s="111">
        <v>3.9315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11">
        <f t="shared" si="3"/>
        <v>26</v>
      </c>
      <c r="B92" s="111" t="str">
        <f t="shared" si="1"/>
        <v>Feb 21, 2024</v>
      </c>
      <c r="C92" s="111">
        <f t="shared" si="2"/>
        <v>3.8875</v>
      </c>
      <c r="D92" s="3">
        <f t="shared" si="4"/>
        <v>0.003096374661</v>
      </c>
      <c r="E92" s="1"/>
      <c r="F92" s="1"/>
      <c r="G92" s="111">
        <f t="shared" si="5"/>
        <v>87</v>
      </c>
      <c r="H92" s="111" t="s">
        <v>143</v>
      </c>
      <c r="I92" s="113">
        <v>0.0065</v>
      </c>
      <c r="J92" s="111">
        <v>3.8505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11">
        <f t="shared" si="3"/>
        <v>25</v>
      </c>
      <c r="B93" s="111" t="str">
        <f t="shared" si="1"/>
        <v>Feb 22, 2024</v>
      </c>
      <c r="C93" s="111">
        <f t="shared" si="2"/>
        <v>3.915</v>
      </c>
      <c r="D93" s="3">
        <f t="shared" si="4"/>
        <v>0.007073954984</v>
      </c>
      <c r="E93" s="1"/>
      <c r="F93" s="1"/>
      <c r="G93" s="111">
        <f t="shared" si="5"/>
        <v>88</v>
      </c>
      <c r="H93" s="111" t="s">
        <v>144</v>
      </c>
      <c r="I93" s="113">
        <v>-8.0E-4</v>
      </c>
      <c r="J93" s="111">
        <v>3.8255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1">
        <f t="shared" si="3"/>
        <v>24</v>
      </c>
      <c r="B94" s="111" t="str">
        <f t="shared" si="1"/>
        <v>Feb 23, 2024</v>
      </c>
      <c r="C94" s="111">
        <f t="shared" si="2"/>
        <v>3.891</v>
      </c>
      <c r="D94" s="3">
        <f t="shared" si="4"/>
        <v>-0.006130268199</v>
      </c>
      <c r="E94" s="1"/>
      <c r="F94" s="1"/>
      <c r="G94" s="111">
        <f t="shared" si="5"/>
        <v>89</v>
      </c>
      <c r="H94" s="111" t="s">
        <v>145</v>
      </c>
      <c r="I94" s="113">
        <v>0.0104</v>
      </c>
      <c r="J94" s="111">
        <v>3.8285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11">
        <f t="shared" si="3"/>
        <v>23</v>
      </c>
      <c r="B95" s="111" t="str">
        <f t="shared" si="1"/>
        <v>Feb 26, 2024</v>
      </c>
      <c r="C95" s="111">
        <f t="shared" si="2"/>
        <v>3.8255</v>
      </c>
      <c r="D95" s="3">
        <f t="shared" si="4"/>
        <v>-0.01683371884</v>
      </c>
      <c r="E95" s="1"/>
      <c r="F95" s="1"/>
      <c r="G95" s="111">
        <f t="shared" si="5"/>
        <v>90</v>
      </c>
      <c r="H95" s="111" t="s">
        <v>178</v>
      </c>
      <c r="I95" s="113">
        <v>-0.0082</v>
      </c>
      <c r="J95" s="111">
        <v>3.789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11">
        <f t="shared" si="3"/>
        <v>22</v>
      </c>
      <c r="B96" s="111" t="str">
        <f t="shared" si="1"/>
        <v>Feb 27, 2024</v>
      </c>
      <c r="C96" s="111">
        <f t="shared" si="2"/>
        <v>3.841</v>
      </c>
      <c r="D96" s="3">
        <f t="shared" si="4"/>
        <v>0.00405175794</v>
      </c>
      <c r="E96" s="1"/>
      <c r="F96" s="1"/>
      <c r="G96" s="111">
        <f t="shared" si="5"/>
        <v>91</v>
      </c>
      <c r="H96" s="111" t="s">
        <v>146</v>
      </c>
      <c r="I96" s="113">
        <v>0.0122</v>
      </c>
      <c r="J96" s="111">
        <v>3.8205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1">
        <f t="shared" si="3"/>
        <v>21</v>
      </c>
      <c r="B97" s="111" t="str">
        <f t="shared" si="1"/>
        <v>Feb 28, 2024</v>
      </c>
      <c r="C97" s="111">
        <f t="shared" si="2"/>
        <v>3.8405</v>
      </c>
      <c r="D97" s="3">
        <f t="shared" si="4"/>
        <v>-0.0001301744337</v>
      </c>
      <c r="E97" s="1"/>
      <c r="F97" s="1"/>
      <c r="G97" s="111">
        <f t="shared" si="5"/>
        <v>92</v>
      </c>
      <c r="H97" s="111" t="s">
        <v>147</v>
      </c>
      <c r="I97" s="113">
        <v>-0.006</v>
      </c>
      <c r="J97" s="111">
        <v>3.7743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11">
        <f t="shared" si="3"/>
        <v>20</v>
      </c>
      <c r="B98" s="111" t="str">
        <f t="shared" si="1"/>
        <v>Feb 29, 2024</v>
      </c>
      <c r="C98" s="111">
        <f t="shared" si="2"/>
        <v>3.847</v>
      </c>
      <c r="D98" s="3">
        <f t="shared" si="4"/>
        <v>0.001692487957</v>
      </c>
      <c r="E98" s="1"/>
      <c r="F98" s="1"/>
      <c r="G98" s="111">
        <f t="shared" si="5"/>
        <v>93</v>
      </c>
      <c r="H98" s="111" t="s">
        <v>148</v>
      </c>
      <c r="I98" s="113">
        <v>-0.0111</v>
      </c>
      <c r="J98" s="111">
        <v>3.797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11">
        <f t="shared" si="3"/>
        <v>19</v>
      </c>
      <c r="B99" s="111" t="str">
        <f t="shared" si="1"/>
        <v>Mar 01, 2024</v>
      </c>
      <c r="C99" s="111">
        <f t="shared" si="2"/>
        <v>3.8615</v>
      </c>
      <c r="D99" s="3">
        <f t="shared" si="4"/>
        <v>0.003769170782</v>
      </c>
      <c r="E99" s="1"/>
      <c r="F99" s="1"/>
      <c r="G99" s="111">
        <f t="shared" si="5"/>
        <v>94</v>
      </c>
      <c r="H99" s="111" t="s">
        <v>149</v>
      </c>
      <c r="I99" s="113">
        <v>0.0016</v>
      </c>
      <c r="J99" s="111">
        <v>3.8395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1">
        <f t="shared" si="3"/>
        <v>18</v>
      </c>
      <c r="B100" s="111" t="str">
        <f t="shared" si="1"/>
        <v>Mar 04, 2024</v>
      </c>
      <c r="C100" s="111">
        <f t="shared" si="2"/>
        <v>3.857</v>
      </c>
      <c r="D100" s="3">
        <f t="shared" si="4"/>
        <v>-0.001165350252</v>
      </c>
      <c r="E100" s="1"/>
      <c r="F100" s="1"/>
      <c r="G100" s="111">
        <f t="shared" si="5"/>
        <v>95</v>
      </c>
      <c r="H100" s="111" t="s">
        <v>150</v>
      </c>
      <c r="I100" s="113">
        <v>0.0265</v>
      </c>
      <c r="J100" s="111">
        <v>3.8335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11">
        <f t="shared" si="3"/>
        <v>17</v>
      </c>
      <c r="B101" s="111" t="str">
        <f t="shared" si="1"/>
        <v>Mar 05, 2024</v>
      </c>
      <c r="C101" s="111">
        <f t="shared" si="2"/>
        <v>3.847</v>
      </c>
      <c r="D101" s="3">
        <f t="shared" si="4"/>
        <v>-0.002592688618</v>
      </c>
      <c r="E101" s="1"/>
      <c r="F101" s="1"/>
      <c r="G101" s="111">
        <f t="shared" si="5"/>
        <v>96</v>
      </c>
      <c r="H101" s="111" t="s">
        <v>151</v>
      </c>
      <c r="I101" s="113">
        <v>0.0086</v>
      </c>
      <c r="J101" s="111">
        <v>3.7345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1">
        <f t="shared" si="3"/>
        <v>16</v>
      </c>
      <c r="B102" s="111" t="str">
        <f t="shared" si="1"/>
        <v>Mar 06, 2024</v>
      </c>
      <c r="C102" s="111">
        <f t="shared" si="2"/>
        <v>3.875</v>
      </c>
      <c r="D102" s="3">
        <f t="shared" si="4"/>
        <v>0.007278398752</v>
      </c>
      <c r="E102" s="1"/>
      <c r="F102" s="1"/>
      <c r="G102" s="111">
        <f t="shared" si="5"/>
        <v>97</v>
      </c>
      <c r="H102" s="111" t="s">
        <v>152</v>
      </c>
      <c r="I102" s="113">
        <v>-0.0043</v>
      </c>
      <c r="J102" s="111">
        <v>3.7025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1">
        <f t="shared" si="3"/>
        <v>15</v>
      </c>
      <c r="B103" s="111" t="str">
        <f t="shared" si="1"/>
        <v>Mar 07, 2024</v>
      </c>
      <c r="C103" s="111">
        <f t="shared" si="2"/>
        <v>3.926</v>
      </c>
      <c r="D103" s="3">
        <f t="shared" si="4"/>
        <v>0.01316129032</v>
      </c>
      <c r="E103" s="1"/>
      <c r="F103" s="1"/>
      <c r="G103" s="111">
        <f t="shared" si="5"/>
        <v>98</v>
      </c>
      <c r="H103" s="111" t="s">
        <v>153</v>
      </c>
      <c r="I103" s="113">
        <v>0.0095</v>
      </c>
      <c r="J103" s="111">
        <v>3.7185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1">
        <f t="shared" si="3"/>
        <v>14</v>
      </c>
      <c r="B104" s="111" t="str">
        <f t="shared" si="1"/>
        <v>Mar 08, 2024</v>
      </c>
      <c r="C104" s="111">
        <f t="shared" si="2"/>
        <v>3.8915</v>
      </c>
      <c r="D104" s="3">
        <f t="shared" si="4"/>
        <v>-0.008787570046</v>
      </c>
      <c r="E104" s="1"/>
      <c r="F104" s="1"/>
      <c r="G104" s="111">
        <f t="shared" si="5"/>
        <v>99</v>
      </c>
      <c r="H104" s="111" t="s">
        <v>179</v>
      </c>
      <c r="I104" s="113">
        <v>0.0048</v>
      </c>
      <c r="J104" s="111">
        <v>3.6835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11">
        <f t="shared" si="3"/>
        <v>13</v>
      </c>
      <c r="B105" s="111" t="str">
        <f t="shared" si="1"/>
        <v>Mar 11, 2024</v>
      </c>
      <c r="C105" s="111">
        <f t="shared" si="2"/>
        <v>3.9285</v>
      </c>
      <c r="D105" s="3">
        <f t="shared" si="4"/>
        <v>0.009507901837</v>
      </c>
      <c r="E105" s="1"/>
      <c r="F105" s="1"/>
      <c r="G105" s="111">
        <f t="shared" si="5"/>
        <v>100</v>
      </c>
      <c r="H105" s="111" t="s">
        <v>154</v>
      </c>
      <c r="I105" s="113">
        <v>0.022</v>
      </c>
      <c r="J105" s="111">
        <v>3.666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11">
        <f t="shared" si="3"/>
        <v>12</v>
      </c>
      <c r="B106" s="111" t="str">
        <f t="shared" si="1"/>
        <v>Mar 12, 2024</v>
      </c>
      <c r="C106" s="111">
        <f t="shared" si="2"/>
        <v>3.932</v>
      </c>
      <c r="D106" s="3">
        <f t="shared" si="4"/>
        <v>0.0008909252896</v>
      </c>
      <c r="E106" s="1"/>
      <c r="F106" s="1"/>
      <c r="G106" s="111">
        <f t="shared" si="5"/>
        <v>101</v>
      </c>
      <c r="H106" s="111" t="s">
        <v>155</v>
      </c>
      <c r="I106" s="113">
        <v>-0.0147</v>
      </c>
      <c r="J106" s="111">
        <v>3.587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11">
        <f t="shared" si="3"/>
        <v>11</v>
      </c>
      <c r="B107" s="111" t="str">
        <f t="shared" si="1"/>
        <v>Mar 13, 2024</v>
      </c>
      <c r="C107" s="111">
        <f t="shared" si="2"/>
        <v>4.06</v>
      </c>
      <c r="D107" s="3">
        <f t="shared" si="4"/>
        <v>0.03255340793</v>
      </c>
      <c r="E107" s="1"/>
      <c r="F107" s="1"/>
      <c r="G107" s="111">
        <f t="shared" si="5"/>
        <v>102</v>
      </c>
      <c r="H107" s="111" t="s">
        <v>156</v>
      </c>
      <c r="I107" s="113">
        <v>7.0E-4</v>
      </c>
      <c r="J107" s="111">
        <v>3.6405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11">
        <f t="shared" si="3"/>
        <v>10</v>
      </c>
      <c r="B108" s="111" t="str">
        <f t="shared" si="1"/>
        <v>Mar 14, 2024</v>
      </c>
      <c r="C108" s="111">
        <f t="shared" si="2"/>
        <v>4.0455</v>
      </c>
      <c r="D108" s="3">
        <f t="shared" si="4"/>
        <v>-0.003571428571</v>
      </c>
      <c r="E108" s="1"/>
      <c r="F108" s="1"/>
      <c r="G108" s="111">
        <f t="shared" si="5"/>
        <v>103</v>
      </c>
      <c r="H108" s="111" t="s">
        <v>157</v>
      </c>
      <c r="I108" s="113">
        <v>-0.0111</v>
      </c>
      <c r="J108" s="111">
        <v>3.638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11">
        <f t="shared" si="3"/>
        <v>9</v>
      </c>
      <c r="B109" s="111" t="str">
        <f t="shared" si="1"/>
        <v>Mar 15, 2024</v>
      </c>
      <c r="C109" s="111">
        <f t="shared" si="2"/>
        <v>4.1245</v>
      </c>
      <c r="D109" s="3">
        <f t="shared" si="4"/>
        <v>0.01952787047</v>
      </c>
      <c r="E109" s="1"/>
      <c r="F109" s="1"/>
      <c r="G109" s="111">
        <f t="shared" si="5"/>
        <v>104</v>
      </c>
      <c r="H109" s="111" t="s">
        <v>158</v>
      </c>
      <c r="I109" s="113">
        <v>-0.0108</v>
      </c>
      <c r="J109" s="111">
        <v>3.679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11">
        <f t="shared" si="3"/>
        <v>8</v>
      </c>
      <c r="B110" s="111" t="str">
        <f t="shared" si="1"/>
        <v>Mar 18, 2024</v>
      </c>
      <c r="C110" s="111">
        <f t="shared" si="2"/>
        <v>4.13</v>
      </c>
      <c r="D110" s="3">
        <f t="shared" si="4"/>
        <v>0.001333494969</v>
      </c>
      <c r="E110" s="1"/>
      <c r="F110" s="1"/>
      <c r="G110" s="111">
        <f t="shared" si="5"/>
        <v>105</v>
      </c>
      <c r="H110" s="111" t="s">
        <v>159</v>
      </c>
      <c r="I110" s="113">
        <v>0.0102</v>
      </c>
      <c r="J110" s="111">
        <v>3.719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11">
        <f t="shared" si="3"/>
        <v>7</v>
      </c>
      <c r="B111" s="111" t="str">
        <f t="shared" si="1"/>
        <v>Mar 19, 2024</v>
      </c>
      <c r="C111" s="111">
        <f t="shared" si="2"/>
        <v>4.0745</v>
      </c>
      <c r="D111" s="3">
        <f t="shared" si="4"/>
        <v>-0.01343825666</v>
      </c>
      <c r="E111" s="1"/>
      <c r="F111" s="1"/>
      <c r="G111" s="111">
        <f t="shared" si="5"/>
        <v>106</v>
      </c>
      <c r="H111" s="111" t="s">
        <v>160</v>
      </c>
      <c r="I111" s="113">
        <v>0.0025</v>
      </c>
      <c r="J111" s="111">
        <v>3.6815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11">
        <f t="shared" si="3"/>
        <v>6</v>
      </c>
      <c r="B112" s="111" t="str">
        <f t="shared" si="1"/>
        <v>Mar 20, 2024</v>
      </c>
      <c r="C112" s="111">
        <f t="shared" si="2"/>
        <v>4.0515</v>
      </c>
      <c r="D112" s="3">
        <f t="shared" si="4"/>
        <v>-0.005644864401</v>
      </c>
      <c r="E112" s="1"/>
      <c r="F112" s="1"/>
      <c r="G112" s="111">
        <f t="shared" si="5"/>
        <v>107</v>
      </c>
      <c r="H112" s="111" t="s">
        <v>161</v>
      </c>
      <c r="I112" s="113">
        <v>0.0064</v>
      </c>
      <c r="J112" s="111">
        <v>3.6725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11">
        <f t="shared" si="3"/>
        <v>5</v>
      </c>
      <c r="B113" s="111" t="str">
        <f t="shared" si="1"/>
        <v>Mar 21, 2024</v>
      </c>
      <c r="C113" s="111">
        <f t="shared" si="2"/>
        <v>4.0585</v>
      </c>
      <c r="D113" s="3">
        <f t="shared" si="4"/>
        <v>0.001727755152</v>
      </c>
      <c r="E113" s="1"/>
      <c r="F113" s="1"/>
      <c r="G113" s="111">
        <f t="shared" si="5"/>
        <v>108</v>
      </c>
      <c r="H113" s="111" t="s">
        <v>162</v>
      </c>
      <c r="I113" s="113">
        <v>0.0</v>
      </c>
      <c r="J113" s="111">
        <v>3.649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11">
        <f t="shared" si="3"/>
        <v>4</v>
      </c>
      <c r="B114" s="111" t="str">
        <f t="shared" si="1"/>
        <v>Mar 22, 2024</v>
      </c>
      <c r="C114" s="111">
        <f t="shared" si="2"/>
        <v>4.0075</v>
      </c>
      <c r="D114" s="3">
        <f t="shared" si="4"/>
        <v>-0.01256621905</v>
      </c>
      <c r="E114" s="1"/>
      <c r="F114" s="1"/>
      <c r="G114" s="111">
        <f t="shared" si="5"/>
        <v>109</v>
      </c>
      <c r="H114" s="111" t="s">
        <v>163</v>
      </c>
      <c r="I114" s="113">
        <v>-0.0026</v>
      </c>
      <c r="J114" s="111">
        <v>3.649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11">
        <f t="shared" si="3"/>
        <v>3</v>
      </c>
      <c r="B115" s="111" t="str">
        <f t="shared" si="1"/>
        <v>Mar 24, 2024</v>
      </c>
      <c r="C115" s="111">
        <f t="shared" si="2"/>
        <v>4.0008</v>
      </c>
      <c r="D115" s="3">
        <f t="shared" si="4"/>
        <v>-0.001671865253</v>
      </c>
      <c r="E115" s="1"/>
      <c r="F115" s="1"/>
      <c r="G115" s="111">
        <f t="shared" si="5"/>
        <v>110</v>
      </c>
      <c r="H115" s="111" t="s">
        <v>164</v>
      </c>
      <c r="I115" s="113">
        <v>0.0034</v>
      </c>
      <c r="J115" s="111">
        <v>3.6585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11">
        <f t="shared" si="3"/>
        <v>2</v>
      </c>
      <c r="B116" s="111" t="str">
        <f t="shared" si="1"/>
        <v>Mar 25, 2024</v>
      </c>
      <c r="C116" s="111">
        <f t="shared" si="2"/>
        <v>4.0083</v>
      </c>
      <c r="D116" s="3">
        <f t="shared" si="4"/>
        <v>0.001874625075</v>
      </c>
      <c r="E116" s="1"/>
      <c r="F116" s="1"/>
      <c r="G116" s="111">
        <f t="shared" si="5"/>
        <v>111</v>
      </c>
      <c r="H116" s="111" t="s">
        <v>165</v>
      </c>
      <c r="I116" s="113">
        <v>0.0172</v>
      </c>
      <c r="J116" s="111">
        <v>3.646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11">
        <f t="shared" si="3"/>
        <v>1</v>
      </c>
      <c r="B117" s="111" t="str">
        <f t="shared" si="1"/>
        <v>Mar 26, 2024</v>
      </c>
      <c r="C117" s="111">
        <f t="shared" si="2"/>
        <v>4.0072</v>
      </c>
      <c r="D117" s="3">
        <f t="shared" si="4"/>
        <v>-0.0002744305566</v>
      </c>
      <c r="E117" s="1"/>
      <c r="F117" s="1"/>
      <c r="G117" s="111">
        <f t="shared" si="5"/>
        <v>112</v>
      </c>
      <c r="H117" s="111" t="s">
        <v>166</v>
      </c>
      <c r="I117" s="113">
        <v>-0.0018</v>
      </c>
      <c r="J117" s="111">
        <v>3.5845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56"/>
    <col customWidth="1" min="2" max="4" width="10.78"/>
    <col customWidth="1" hidden="1" min="5" max="7" width="10.56"/>
    <col customWidth="1" min="8" max="8" width="10.78"/>
    <col customWidth="1" min="9" max="9" width="12.11"/>
    <col customWidth="1" min="10" max="10" width="10.78"/>
    <col customWidth="1" min="11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14"/>
      <c r="B5" s="109" t="s">
        <v>61</v>
      </c>
      <c r="C5" s="54" t="s">
        <v>180</v>
      </c>
      <c r="D5" s="54" t="s">
        <v>51</v>
      </c>
      <c r="E5" s="1"/>
      <c r="F5" s="114" t="s">
        <v>182</v>
      </c>
      <c r="G5" s="114" t="s">
        <v>183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15">
        <v>100.0</v>
      </c>
      <c r="B6" s="116">
        <v>45225.0</v>
      </c>
      <c r="C6" s="115">
        <v>34.4471</v>
      </c>
      <c r="D6" s="1"/>
      <c r="E6" s="1">
        <v>1.0</v>
      </c>
      <c r="F6" s="116">
        <v>45377.0</v>
      </c>
      <c r="G6" s="115">
        <v>44.8657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15">
        <f t="shared" ref="A7:A105" si="1">A6-1</f>
        <v>99</v>
      </c>
      <c r="B7" s="116">
        <v>45226.0</v>
      </c>
      <c r="C7" s="115">
        <v>34.7604</v>
      </c>
      <c r="D7" s="3">
        <f t="shared" ref="D7:D107" si="2">C7/C6-1</f>
        <v>0.009095105248</v>
      </c>
      <c r="E7" s="1">
        <f t="shared" ref="E7:E105" si="3">1+E6</f>
        <v>2</v>
      </c>
      <c r="F7" s="116">
        <v>45373.0</v>
      </c>
      <c r="G7" s="115">
        <v>44.7675</v>
      </c>
      <c r="H7" s="2" t="s">
        <v>51</v>
      </c>
      <c r="I7" s="3">
        <f>AVERAGE(D7:D107)</f>
        <v>0.002653524975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5">
        <f t="shared" si="1"/>
        <v>98</v>
      </c>
      <c r="B8" s="116">
        <f t="shared" ref="B8:B107" si="4">VLOOKUP(A6,$E$6:$G$105,2)</f>
        <v>45229</v>
      </c>
      <c r="C8" s="115">
        <f t="shared" ref="C8:C107" si="5">VLOOKUP(A6,$E$6:$G$105,3)</f>
        <v>34.939</v>
      </c>
      <c r="D8" s="3">
        <f t="shared" si="2"/>
        <v>0.005138030633</v>
      </c>
      <c r="E8" s="1">
        <f t="shared" si="3"/>
        <v>3</v>
      </c>
      <c r="F8" s="116">
        <v>45372.0</v>
      </c>
      <c r="G8" s="115">
        <v>44.3613</v>
      </c>
      <c r="H8" s="1" t="s">
        <v>67</v>
      </c>
      <c r="I8" s="3">
        <f>STDEV(D7:D107)</f>
        <v>0.008244110152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15">
        <f t="shared" si="1"/>
        <v>97</v>
      </c>
      <c r="B9" s="116">
        <f t="shared" si="4"/>
        <v>45230</v>
      </c>
      <c r="C9" s="115">
        <f t="shared" si="5"/>
        <v>34.993</v>
      </c>
      <c r="D9" s="3">
        <f t="shared" si="2"/>
        <v>0.001545550817</v>
      </c>
      <c r="E9" s="1">
        <f t="shared" si="3"/>
        <v>4</v>
      </c>
      <c r="F9" s="116">
        <v>45371.0</v>
      </c>
      <c r="G9" s="115">
        <v>43.7079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15">
        <f t="shared" si="1"/>
        <v>96</v>
      </c>
      <c r="B10" s="116">
        <f t="shared" si="4"/>
        <v>45231</v>
      </c>
      <c r="C10" s="115">
        <f t="shared" si="5"/>
        <v>34.9053</v>
      </c>
      <c r="D10" s="3">
        <f t="shared" si="2"/>
        <v>-0.002506215529</v>
      </c>
      <c r="E10" s="1">
        <f t="shared" si="3"/>
        <v>5</v>
      </c>
      <c r="F10" s="116">
        <v>45370.0</v>
      </c>
      <c r="G10" s="115">
        <v>43.7094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15">
        <f t="shared" si="1"/>
        <v>95</v>
      </c>
      <c r="B11" s="116">
        <f t="shared" si="4"/>
        <v>45232</v>
      </c>
      <c r="C11" s="115">
        <f t="shared" si="5"/>
        <v>35.2727</v>
      </c>
      <c r="D11" s="3">
        <f t="shared" si="2"/>
        <v>0.01052562218</v>
      </c>
      <c r="E11" s="1">
        <f t="shared" si="3"/>
        <v>6</v>
      </c>
      <c r="F11" s="116">
        <v>45369.0</v>
      </c>
      <c r="G11" s="115">
        <v>43.8653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15">
        <f t="shared" si="1"/>
        <v>94</v>
      </c>
      <c r="B12" s="116">
        <f t="shared" si="4"/>
        <v>45233</v>
      </c>
      <c r="C12" s="115">
        <f t="shared" si="5"/>
        <v>35.5896</v>
      </c>
      <c r="D12" s="3">
        <f t="shared" si="2"/>
        <v>0.008984285297</v>
      </c>
      <c r="E12" s="1">
        <f t="shared" si="3"/>
        <v>7</v>
      </c>
      <c r="F12" s="116">
        <v>45366.0</v>
      </c>
      <c r="G12" s="115">
        <v>43.5696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15">
        <f t="shared" si="1"/>
        <v>93</v>
      </c>
      <c r="B13" s="116">
        <f t="shared" si="4"/>
        <v>45236</v>
      </c>
      <c r="C13" s="115">
        <f t="shared" si="5"/>
        <v>36.0208</v>
      </c>
      <c r="D13" s="3">
        <f t="shared" si="2"/>
        <v>0.01211589903</v>
      </c>
      <c r="E13" s="1">
        <f t="shared" si="3"/>
        <v>8</v>
      </c>
      <c r="F13" s="116">
        <v>45365.0</v>
      </c>
      <c r="G13" s="115">
        <v>43.528</v>
      </c>
      <c r="H13" s="1"/>
      <c r="I13" s="116"/>
      <c r="J13" s="11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15">
        <f t="shared" si="1"/>
        <v>92</v>
      </c>
      <c r="B14" s="116">
        <f t="shared" si="4"/>
        <v>45237</v>
      </c>
      <c r="C14" s="115">
        <f t="shared" si="5"/>
        <v>36.1561</v>
      </c>
      <c r="D14" s="3">
        <f t="shared" si="2"/>
        <v>0.003756163106</v>
      </c>
      <c r="E14" s="1">
        <f t="shared" si="3"/>
        <v>9</v>
      </c>
      <c r="F14" s="116">
        <v>45364.0</v>
      </c>
      <c r="G14" s="115">
        <v>42.9282</v>
      </c>
      <c r="H14" s="1"/>
      <c r="I14" s="116"/>
      <c r="J14" s="11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15">
        <f t="shared" si="1"/>
        <v>91</v>
      </c>
      <c r="B15" s="116">
        <f t="shared" si="4"/>
        <v>45238</v>
      </c>
      <c r="C15" s="115">
        <f t="shared" si="5"/>
        <v>36.3129</v>
      </c>
      <c r="D15" s="3">
        <f t="shared" si="2"/>
        <v>0.004336750922</v>
      </c>
      <c r="E15" s="1">
        <f t="shared" si="3"/>
        <v>10</v>
      </c>
      <c r="F15" s="116">
        <v>45363.0</v>
      </c>
      <c r="G15" s="115">
        <v>44.346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15">
        <f t="shared" si="1"/>
        <v>90</v>
      </c>
      <c r="B16" s="116">
        <f t="shared" si="4"/>
        <v>45239</v>
      </c>
      <c r="C16" s="115">
        <f t="shared" si="5"/>
        <v>36.3868</v>
      </c>
      <c r="D16" s="3">
        <f t="shared" si="2"/>
        <v>0.002035089459</v>
      </c>
      <c r="E16" s="1">
        <f t="shared" si="3"/>
        <v>11</v>
      </c>
      <c r="F16" s="116">
        <v>45362.0</v>
      </c>
      <c r="G16" s="115">
        <v>44.6097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15">
        <f t="shared" si="1"/>
        <v>89</v>
      </c>
      <c r="B17" s="116">
        <f t="shared" si="4"/>
        <v>45240</v>
      </c>
      <c r="C17" s="115">
        <f t="shared" si="5"/>
        <v>36.5037</v>
      </c>
      <c r="D17" s="3">
        <f t="shared" si="2"/>
        <v>0.003212703508</v>
      </c>
      <c r="E17" s="1">
        <f t="shared" si="3"/>
        <v>12</v>
      </c>
      <c r="F17" s="116">
        <v>45358.0</v>
      </c>
      <c r="G17" s="115">
        <v>44.8536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15">
        <f t="shared" si="1"/>
        <v>88</v>
      </c>
      <c r="B18" s="116">
        <f t="shared" si="4"/>
        <v>45243</v>
      </c>
      <c r="C18" s="115">
        <f t="shared" si="5"/>
        <v>36.6874</v>
      </c>
      <c r="D18" s="3">
        <f t="shared" si="2"/>
        <v>0.005032366582</v>
      </c>
      <c r="E18" s="1">
        <f t="shared" si="3"/>
        <v>13</v>
      </c>
      <c r="F18" s="116">
        <v>45357.0</v>
      </c>
      <c r="G18" s="115">
        <v>44.6805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15">
        <f t="shared" si="1"/>
        <v>87</v>
      </c>
      <c r="B19" s="116">
        <f t="shared" si="4"/>
        <v>45245</v>
      </c>
      <c r="C19" s="115">
        <f t="shared" si="5"/>
        <v>37.1633</v>
      </c>
      <c r="D19" s="3">
        <f t="shared" si="2"/>
        <v>0.01297175597</v>
      </c>
      <c r="E19" s="1">
        <f t="shared" si="3"/>
        <v>14</v>
      </c>
      <c r="F19" s="116">
        <v>45356.0</v>
      </c>
      <c r="G19" s="115">
        <v>45.0918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15">
        <f t="shared" si="1"/>
        <v>86</v>
      </c>
      <c r="B20" s="116">
        <f t="shared" si="4"/>
        <v>45246</v>
      </c>
      <c r="C20" s="115">
        <f t="shared" si="5"/>
        <v>37.3196</v>
      </c>
      <c r="D20" s="3">
        <f t="shared" si="2"/>
        <v>0.004205762136</v>
      </c>
      <c r="E20" s="1">
        <f t="shared" si="3"/>
        <v>15</v>
      </c>
      <c r="F20" s="116">
        <v>45355.0</v>
      </c>
      <c r="G20" s="115">
        <v>45.1291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15">
        <f t="shared" si="1"/>
        <v>85</v>
      </c>
      <c r="B21" s="116">
        <f t="shared" si="4"/>
        <v>45247</v>
      </c>
      <c r="C21" s="115">
        <f t="shared" si="5"/>
        <v>37.5562</v>
      </c>
      <c r="D21" s="3">
        <f t="shared" si="2"/>
        <v>0.006339832153</v>
      </c>
      <c r="E21" s="1">
        <f t="shared" si="3"/>
        <v>16</v>
      </c>
      <c r="F21" s="116">
        <v>45352.0</v>
      </c>
      <c r="G21" s="115">
        <v>44.8454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5">
        <f t="shared" si="1"/>
        <v>84</v>
      </c>
      <c r="B22" s="116">
        <f t="shared" si="4"/>
        <v>45250</v>
      </c>
      <c r="C22" s="115">
        <f t="shared" si="5"/>
        <v>37.3857</v>
      </c>
      <c r="D22" s="3">
        <f t="shared" si="2"/>
        <v>-0.004539862925</v>
      </c>
      <c r="E22" s="1">
        <f t="shared" si="3"/>
        <v>17</v>
      </c>
      <c r="F22" s="116">
        <v>45351.0</v>
      </c>
      <c r="G22" s="115">
        <v>44.1476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5">
        <f t="shared" si="1"/>
        <v>83</v>
      </c>
      <c r="B23" s="116">
        <f t="shared" si="4"/>
        <v>45251</v>
      </c>
      <c r="C23" s="115">
        <f t="shared" si="5"/>
        <v>37.5461</v>
      </c>
      <c r="D23" s="3">
        <f t="shared" si="2"/>
        <v>0.004290410505</v>
      </c>
      <c r="E23" s="1">
        <f t="shared" si="3"/>
        <v>18</v>
      </c>
      <c r="F23" s="116">
        <v>45350.0</v>
      </c>
      <c r="G23" s="115">
        <v>44.0995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5">
        <f t="shared" si="1"/>
        <v>82</v>
      </c>
      <c r="B24" s="116">
        <f t="shared" si="4"/>
        <v>45252</v>
      </c>
      <c r="C24" s="115">
        <f t="shared" si="5"/>
        <v>37.4185</v>
      </c>
      <c r="D24" s="3">
        <f t="shared" si="2"/>
        <v>-0.003398488791</v>
      </c>
      <c r="E24" s="1">
        <f t="shared" si="3"/>
        <v>19</v>
      </c>
      <c r="F24" s="116">
        <v>45349.0</v>
      </c>
      <c r="G24" s="115">
        <v>44.6889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5">
        <f t="shared" si="1"/>
        <v>81</v>
      </c>
      <c r="B25" s="116">
        <f t="shared" si="4"/>
        <v>45253</v>
      </c>
      <c r="C25" s="115">
        <f t="shared" si="5"/>
        <v>37.4802</v>
      </c>
      <c r="D25" s="3">
        <f t="shared" si="2"/>
        <v>0.00164891698</v>
      </c>
      <c r="E25" s="1">
        <f t="shared" si="3"/>
        <v>20</v>
      </c>
      <c r="F25" s="116">
        <v>45348.0</v>
      </c>
      <c r="G25" s="115">
        <v>44.6003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5">
        <f t="shared" si="1"/>
        <v>80</v>
      </c>
      <c r="B26" s="116">
        <f t="shared" si="4"/>
        <v>45254</v>
      </c>
      <c r="C26" s="115">
        <f t="shared" si="5"/>
        <v>37.5573</v>
      </c>
      <c r="D26" s="3">
        <f t="shared" si="2"/>
        <v>0.002057086141</v>
      </c>
      <c r="E26" s="1">
        <f t="shared" si="3"/>
        <v>21</v>
      </c>
      <c r="F26" s="116">
        <v>45345.0</v>
      </c>
      <c r="G26" s="115">
        <v>44.5581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5">
        <f t="shared" si="1"/>
        <v>79</v>
      </c>
      <c r="B27" s="116">
        <f t="shared" si="4"/>
        <v>45258</v>
      </c>
      <c r="C27" s="115">
        <f t="shared" si="5"/>
        <v>37.8429</v>
      </c>
      <c r="D27" s="3">
        <f t="shared" si="2"/>
        <v>0.007604380507</v>
      </c>
      <c r="E27" s="1">
        <f t="shared" si="3"/>
        <v>22</v>
      </c>
      <c r="F27" s="116">
        <v>45344.0</v>
      </c>
      <c r="G27" s="115">
        <v>44.3925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15">
        <f t="shared" si="1"/>
        <v>78</v>
      </c>
      <c r="B28" s="116">
        <f t="shared" si="4"/>
        <v>45259</v>
      </c>
      <c r="C28" s="115">
        <f t="shared" si="5"/>
        <v>38.1194</v>
      </c>
      <c r="D28" s="3">
        <f t="shared" si="2"/>
        <v>0.007306522492</v>
      </c>
      <c r="E28" s="1">
        <f t="shared" si="3"/>
        <v>23</v>
      </c>
      <c r="F28" s="116">
        <v>45343.0</v>
      </c>
      <c r="G28" s="115">
        <v>44.1042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15">
        <f t="shared" si="1"/>
        <v>77</v>
      </c>
      <c r="B29" s="116">
        <f t="shared" si="4"/>
        <v>45260</v>
      </c>
      <c r="C29" s="115">
        <f t="shared" si="5"/>
        <v>38.5038</v>
      </c>
      <c r="D29" s="3">
        <f t="shared" si="2"/>
        <v>0.01008410416</v>
      </c>
      <c r="E29" s="1">
        <f t="shared" si="3"/>
        <v>24</v>
      </c>
      <c r="F29" s="116">
        <v>45342.0</v>
      </c>
      <c r="G29" s="115">
        <v>44.2755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5">
        <f t="shared" si="1"/>
        <v>76</v>
      </c>
      <c r="B30" s="116">
        <f t="shared" si="4"/>
        <v>45261</v>
      </c>
      <c r="C30" s="115">
        <f t="shared" si="5"/>
        <v>38.8076</v>
      </c>
      <c r="D30" s="3">
        <f t="shared" si="2"/>
        <v>0.007890130325</v>
      </c>
      <c r="E30" s="1">
        <f t="shared" si="3"/>
        <v>25</v>
      </c>
      <c r="F30" s="116">
        <v>45341.0</v>
      </c>
      <c r="G30" s="115">
        <v>44.2204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5">
        <f t="shared" si="1"/>
        <v>75</v>
      </c>
      <c r="B31" s="116">
        <f t="shared" si="4"/>
        <v>45264</v>
      </c>
      <c r="C31" s="115">
        <f t="shared" si="5"/>
        <v>39.4569</v>
      </c>
      <c r="D31" s="3">
        <f t="shared" si="2"/>
        <v>0.01673125883</v>
      </c>
      <c r="E31" s="1">
        <f t="shared" si="3"/>
        <v>26</v>
      </c>
      <c r="F31" s="116">
        <v>45338.0</v>
      </c>
      <c r="G31" s="115">
        <v>44.126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5">
        <f t="shared" si="1"/>
        <v>74</v>
      </c>
      <c r="B32" s="116">
        <f t="shared" si="4"/>
        <v>45265</v>
      </c>
      <c r="C32" s="115">
        <f t="shared" si="5"/>
        <v>39.6346</v>
      </c>
      <c r="D32" s="3">
        <f t="shared" si="2"/>
        <v>0.004503648285</v>
      </c>
      <c r="E32" s="1">
        <f t="shared" si="3"/>
        <v>27</v>
      </c>
      <c r="F32" s="116">
        <v>45337.0</v>
      </c>
      <c r="G32" s="115">
        <v>44.0836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15">
        <f t="shared" si="1"/>
        <v>73</v>
      </c>
      <c r="B33" s="116">
        <f t="shared" si="4"/>
        <v>45266</v>
      </c>
      <c r="C33" s="115">
        <f t="shared" si="5"/>
        <v>39.6529</v>
      </c>
      <c r="D33" s="3">
        <f t="shared" si="2"/>
        <v>0.000461717792</v>
      </c>
      <c r="E33" s="1">
        <f t="shared" si="3"/>
        <v>28</v>
      </c>
      <c r="F33" s="116">
        <v>45336.0</v>
      </c>
      <c r="G33" s="115">
        <v>43.7633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5">
        <f t="shared" si="1"/>
        <v>72</v>
      </c>
      <c r="B34" s="116">
        <f t="shared" si="4"/>
        <v>45267</v>
      </c>
      <c r="C34" s="115">
        <f t="shared" si="5"/>
        <v>39.817</v>
      </c>
      <c r="D34" s="3">
        <f t="shared" si="2"/>
        <v>0.004138411062</v>
      </c>
      <c r="E34" s="1">
        <f t="shared" si="3"/>
        <v>29</v>
      </c>
      <c r="F34" s="116">
        <v>45335.0</v>
      </c>
      <c r="G34" s="115">
        <v>43.2326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15">
        <f t="shared" si="1"/>
        <v>71</v>
      </c>
      <c r="B35" s="116">
        <f t="shared" si="4"/>
        <v>45268</v>
      </c>
      <c r="C35" s="115">
        <f t="shared" si="5"/>
        <v>39.687</v>
      </c>
      <c r="D35" s="3">
        <f t="shared" si="2"/>
        <v>-0.003264937087</v>
      </c>
      <c r="E35" s="1">
        <f t="shared" si="3"/>
        <v>30</v>
      </c>
      <c r="F35" s="116">
        <v>45334.0</v>
      </c>
      <c r="G35" s="115">
        <v>43.2217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15">
        <f t="shared" si="1"/>
        <v>70</v>
      </c>
      <c r="B36" s="116">
        <f t="shared" si="4"/>
        <v>45271</v>
      </c>
      <c r="C36" s="115">
        <f t="shared" si="5"/>
        <v>39.9073</v>
      </c>
      <c r="D36" s="3">
        <f t="shared" si="2"/>
        <v>0.005550936075</v>
      </c>
      <c r="E36" s="1">
        <f t="shared" si="3"/>
        <v>31</v>
      </c>
      <c r="F36" s="116">
        <v>45331.0</v>
      </c>
      <c r="G36" s="115">
        <v>43.7827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5">
        <f t="shared" si="1"/>
        <v>69</v>
      </c>
      <c r="B37" s="116">
        <f t="shared" si="4"/>
        <v>45272</v>
      </c>
      <c r="C37" s="115">
        <f t="shared" si="5"/>
        <v>39.6467</v>
      </c>
      <c r="D37" s="3">
        <f t="shared" si="2"/>
        <v>-0.006530133585</v>
      </c>
      <c r="E37" s="1">
        <f t="shared" si="3"/>
        <v>32</v>
      </c>
      <c r="F37" s="116">
        <v>45330.0</v>
      </c>
      <c r="G37" s="115">
        <v>43.9821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15">
        <f t="shared" si="1"/>
        <v>68</v>
      </c>
      <c r="B38" s="116">
        <f t="shared" si="4"/>
        <v>45273</v>
      </c>
      <c r="C38" s="115">
        <f t="shared" si="5"/>
        <v>39.7768</v>
      </c>
      <c r="D38" s="3">
        <f t="shared" si="2"/>
        <v>0.003281483705</v>
      </c>
      <c r="E38" s="1">
        <f t="shared" si="3"/>
        <v>33</v>
      </c>
      <c r="F38" s="116">
        <v>45329.0</v>
      </c>
      <c r="G38" s="115">
        <v>44.0766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15">
        <f t="shared" si="1"/>
        <v>67</v>
      </c>
      <c r="B39" s="116">
        <f t="shared" si="4"/>
        <v>45274</v>
      </c>
      <c r="C39" s="115">
        <f t="shared" si="5"/>
        <v>40.1723</v>
      </c>
      <c r="D39" s="3">
        <f t="shared" si="2"/>
        <v>0.009942981839</v>
      </c>
      <c r="E39" s="1">
        <f t="shared" si="3"/>
        <v>34</v>
      </c>
      <c r="F39" s="116">
        <v>45328.0</v>
      </c>
      <c r="G39" s="115">
        <v>43.8729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15">
        <f t="shared" si="1"/>
        <v>66</v>
      </c>
      <c r="B40" s="116">
        <f t="shared" si="4"/>
        <v>45275</v>
      </c>
      <c r="C40" s="115">
        <f t="shared" si="5"/>
        <v>40.2855</v>
      </c>
      <c r="D40" s="3">
        <f t="shared" si="2"/>
        <v>0.002817862059</v>
      </c>
      <c r="E40" s="1">
        <f t="shared" si="3"/>
        <v>35</v>
      </c>
      <c r="F40" s="116">
        <v>45327.0</v>
      </c>
      <c r="G40" s="115">
        <v>43.2165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15">
        <f t="shared" si="1"/>
        <v>65</v>
      </c>
      <c r="B41" s="116">
        <f t="shared" si="4"/>
        <v>45278</v>
      </c>
      <c r="C41" s="115">
        <f t="shared" si="5"/>
        <v>40.3355</v>
      </c>
      <c r="D41" s="3">
        <f t="shared" si="2"/>
        <v>0.001241141354</v>
      </c>
      <c r="E41" s="1">
        <f t="shared" si="3"/>
        <v>36</v>
      </c>
      <c r="F41" s="116">
        <v>45324.0</v>
      </c>
      <c r="G41" s="115">
        <v>43.5865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5">
        <f t="shared" si="1"/>
        <v>64</v>
      </c>
      <c r="B42" s="116">
        <f t="shared" si="4"/>
        <v>45279</v>
      </c>
      <c r="C42" s="115">
        <f t="shared" si="5"/>
        <v>40.3114</v>
      </c>
      <c r="D42" s="3">
        <f t="shared" si="2"/>
        <v>-0.0005974885647</v>
      </c>
      <c r="E42" s="1">
        <f t="shared" si="3"/>
        <v>37</v>
      </c>
      <c r="F42" s="116">
        <v>45323.0</v>
      </c>
      <c r="G42" s="115">
        <v>43.3707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15">
        <f t="shared" si="1"/>
        <v>63</v>
      </c>
      <c r="B43" s="116">
        <f t="shared" si="4"/>
        <v>45280</v>
      </c>
      <c r="C43" s="115">
        <f t="shared" si="5"/>
        <v>39.3782</v>
      </c>
      <c r="D43" s="3">
        <f t="shared" si="2"/>
        <v>-0.02314977897</v>
      </c>
      <c r="E43" s="1">
        <f t="shared" si="3"/>
        <v>38</v>
      </c>
      <c r="F43" s="116">
        <v>45322.0</v>
      </c>
      <c r="G43" s="115">
        <v>43.3876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5">
        <f t="shared" si="1"/>
        <v>62</v>
      </c>
      <c r="B44" s="116">
        <f t="shared" si="4"/>
        <v>45281</v>
      </c>
      <c r="C44" s="115">
        <f t="shared" si="5"/>
        <v>39.9173</v>
      </c>
      <c r="D44" s="3">
        <f t="shared" si="2"/>
        <v>0.01369031596</v>
      </c>
      <c r="E44" s="1">
        <f t="shared" si="3"/>
        <v>39</v>
      </c>
      <c r="F44" s="116">
        <v>45321.0</v>
      </c>
      <c r="G44" s="115">
        <v>42.8148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15">
        <f t="shared" si="1"/>
        <v>61</v>
      </c>
      <c r="B45" s="116">
        <f t="shared" si="4"/>
        <v>45282</v>
      </c>
      <c r="C45" s="115">
        <f t="shared" si="5"/>
        <v>40.2758</v>
      </c>
      <c r="D45" s="3">
        <f t="shared" si="2"/>
        <v>0.008981068359</v>
      </c>
      <c r="E45" s="1">
        <f t="shared" si="3"/>
        <v>40</v>
      </c>
      <c r="F45" s="116">
        <v>45320.0</v>
      </c>
      <c r="G45" s="115">
        <v>42.9693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5">
        <f t="shared" si="1"/>
        <v>60</v>
      </c>
      <c r="B46" s="116">
        <f t="shared" si="4"/>
        <v>45286</v>
      </c>
      <c r="C46" s="115">
        <f t="shared" si="5"/>
        <v>40.5571</v>
      </c>
      <c r="D46" s="3">
        <f t="shared" si="2"/>
        <v>0.006984342955</v>
      </c>
      <c r="E46" s="1">
        <f t="shared" si="3"/>
        <v>41</v>
      </c>
      <c r="F46" s="116">
        <v>45316.0</v>
      </c>
      <c r="G46" s="115">
        <v>42.1234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5">
        <f t="shared" si="1"/>
        <v>59</v>
      </c>
      <c r="B47" s="116">
        <f t="shared" si="4"/>
        <v>45287</v>
      </c>
      <c r="C47" s="115">
        <f t="shared" si="5"/>
        <v>40.8666</v>
      </c>
      <c r="D47" s="3">
        <f t="shared" si="2"/>
        <v>0.007631216236</v>
      </c>
      <c r="E47" s="1">
        <f t="shared" si="3"/>
        <v>42</v>
      </c>
      <c r="F47" s="116">
        <v>45315.0</v>
      </c>
      <c r="G47" s="115">
        <v>42.1817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5">
        <f t="shared" si="1"/>
        <v>58</v>
      </c>
      <c r="B48" s="116">
        <f t="shared" si="4"/>
        <v>45288</v>
      </c>
      <c r="C48" s="115">
        <f t="shared" si="5"/>
        <v>41.0272</v>
      </c>
      <c r="D48" s="3">
        <f t="shared" si="2"/>
        <v>0.003929859592</v>
      </c>
      <c r="E48" s="1">
        <f t="shared" si="3"/>
        <v>43</v>
      </c>
      <c r="F48" s="116">
        <v>45314.0</v>
      </c>
      <c r="G48" s="115">
        <v>41.6744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5">
        <f t="shared" si="1"/>
        <v>57</v>
      </c>
      <c r="B49" s="116">
        <f t="shared" si="4"/>
        <v>45289</v>
      </c>
      <c r="C49" s="115">
        <f t="shared" si="5"/>
        <v>41.2228</v>
      </c>
      <c r="D49" s="3">
        <f t="shared" si="2"/>
        <v>0.004767568832</v>
      </c>
      <c r="E49" s="1">
        <f t="shared" si="3"/>
        <v>44</v>
      </c>
      <c r="F49" s="116">
        <v>45310.0</v>
      </c>
      <c r="G49" s="115">
        <v>42.5675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5">
        <f t="shared" si="1"/>
        <v>56</v>
      </c>
      <c r="B50" s="116">
        <f t="shared" si="4"/>
        <v>45292</v>
      </c>
      <c r="C50" s="115">
        <f t="shared" si="5"/>
        <v>41.4318</v>
      </c>
      <c r="D50" s="3">
        <f t="shared" si="2"/>
        <v>0.0050700098</v>
      </c>
      <c r="E50" s="1">
        <f t="shared" si="3"/>
        <v>45</v>
      </c>
      <c r="F50" s="116">
        <v>45309.0</v>
      </c>
      <c r="G50" s="115">
        <v>42.3216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15">
        <f t="shared" si="1"/>
        <v>55</v>
      </c>
      <c r="B51" s="116">
        <f t="shared" si="4"/>
        <v>45293</v>
      </c>
      <c r="C51" s="115">
        <f t="shared" si="5"/>
        <v>41.2784</v>
      </c>
      <c r="D51" s="3">
        <f t="shared" si="2"/>
        <v>-0.003702470083</v>
      </c>
      <c r="E51" s="1">
        <f t="shared" si="3"/>
        <v>46</v>
      </c>
      <c r="F51" s="116">
        <v>45308.0</v>
      </c>
      <c r="G51" s="115">
        <v>42.0974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5">
        <f t="shared" si="1"/>
        <v>54</v>
      </c>
      <c r="B52" s="116">
        <f t="shared" si="4"/>
        <v>45294</v>
      </c>
      <c r="C52" s="115">
        <f t="shared" si="5"/>
        <v>41.3576</v>
      </c>
      <c r="D52" s="3">
        <f t="shared" si="2"/>
        <v>0.001918679019</v>
      </c>
      <c r="E52" s="1">
        <f t="shared" si="3"/>
        <v>47</v>
      </c>
      <c r="F52" s="116">
        <v>45307.0</v>
      </c>
      <c r="G52" s="115">
        <v>42.6927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15">
        <f t="shared" si="1"/>
        <v>53</v>
      </c>
      <c r="B53" s="116">
        <f t="shared" si="4"/>
        <v>45295</v>
      </c>
      <c r="C53" s="115">
        <f t="shared" si="5"/>
        <v>42.0247</v>
      </c>
      <c r="D53" s="3">
        <f t="shared" si="2"/>
        <v>0.01613004623</v>
      </c>
      <c r="E53" s="1">
        <f t="shared" si="3"/>
        <v>48</v>
      </c>
      <c r="F53" s="116">
        <v>45306.0</v>
      </c>
      <c r="G53" s="115">
        <v>42.6298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5">
        <f t="shared" si="1"/>
        <v>52</v>
      </c>
      <c r="B54" s="116">
        <f t="shared" si="4"/>
        <v>45296</v>
      </c>
      <c r="C54" s="115">
        <f t="shared" si="5"/>
        <v>42.0452</v>
      </c>
      <c r="D54" s="3">
        <f t="shared" si="2"/>
        <v>0.0004878083603</v>
      </c>
      <c r="E54" s="1">
        <f t="shared" si="3"/>
        <v>49</v>
      </c>
      <c r="F54" s="116">
        <v>45303.0</v>
      </c>
      <c r="G54" s="115">
        <v>42.6128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5">
        <f t="shared" si="1"/>
        <v>51</v>
      </c>
      <c r="B55" s="116">
        <f t="shared" si="4"/>
        <v>45299</v>
      </c>
      <c r="C55" s="115">
        <f t="shared" si="5"/>
        <v>41.7975</v>
      </c>
      <c r="D55" s="3">
        <f t="shared" si="2"/>
        <v>-0.005891278909</v>
      </c>
      <c r="E55" s="1">
        <f t="shared" si="3"/>
        <v>50</v>
      </c>
      <c r="F55" s="116">
        <v>45302.0</v>
      </c>
      <c r="G55" s="115">
        <v>42.3765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5">
        <f t="shared" si="1"/>
        <v>50</v>
      </c>
      <c r="B56" s="116">
        <f t="shared" si="4"/>
        <v>45300</v>
      </c>
      <c r="C56" s="115">
        <f t="shared" si="5"/>
        <v>41.9304</v>
      </c>
      <c r="D56" s="3">
        <f t="shared" si="2"/>
        <v>0.003179616006</v>
      </c>
      <c r="E56" s="1">
        <f t="shared" si="3"/>
        <v>51</v>
      </c>
      <c r="F56" s="116">
        <v>45301.0</v>
      </c>
      <c r="G56" s="115">
        <v>42.003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5">
        <f t="shared" si="1"/>
        <v>49</v>
      </c>
      <c r="B57" s="116">
        <f t="shared" si="4"/>
        <v>45301</v>
      </c>
      <c r="C57" s="115">
        <f t="shared" si="5"/>
        <v>42.003</v>
      </c>
      <c r="D57" s="3">
        <f t="shared" si="2"/>
        <v>0.001731440673</v>
      </c>
      <c r="E57" s="1">
        <f t="shared" si="3"/>
        <v>52</v>
      </c>
      <c r="F57" s="116">
        <v>45300.0</v>
      </c>
      <c r="G57" s="115">
        <v>41.9304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5">
        <f t="shared" si="1"/>
        <v>48</v>
      </c>
      <c r="B58" s="116">
        <f t="shared" si="4"/>
        <v>45302</v>
      </c>
      <c r="C58" s="115">
        <f t="shared" si="5"/>
        <v>42.3765</v>
      </c>
      <c r="D58" s="3">
        <f t="shared" si="2"/>
        <v>0.008892221984</v>
      </c>
      <c r="E58" s="1">
        <f t="shared" si="3"/>
        <v>53</v>
      </c>
      <c r="F58" s="116">
        <v>45299.0</v>
      </c>
      <c r="G58" s="115">
        <v>41.7975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5">
        <f t="shared" si="1"/>
        <v>47</v>
      </c>
      <c r="B59" s="116">
        <f t="shared" si="4"/>
        <v>45303</v>
      </c>
      <c r="C59" s="115">
        <f t="shared" si="5"/>
        <v>42.6128</v>
      </c>
      <c r="D59" s="3">
        <f t="shared" si="2"/>
        <v>0.005576203792</v>
      </c>
      <c r="E59" s="1">
        <f t="shared" si="3"/>
        <v>54</v>
      </c>
      <c r="F59" s="116">
        <v>45296.0</v>
      </c>
      <c r="G59" s="115">
        <v>42.0452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5">
        <f t="shared" si="1"/>
        <v>46</v>
      </c>
      <c r="B60" s="116">
        <f t="shared" si="4"/>
        <v>45306</v>
      </c>
      <c r="C60" s="115">
        <f t="shared" si="5"/>
        <v>42.6298</v>
      </c>
      <c r="D60" s="3">
        <f t="shared" si="2"/>
        <v>0.0003989411632</v>
      </c>
      <c r="E60" s="1">
        <f t="shared" si="3"/>
        <v>55</v>
      </c>
      <c r="F60" s="116">
        <v>45295.0</v>
      </c>
      <c r="G60" s="115">
        <v>42.0247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5">
        <f t="shared" si="1"/>
        <v>45</v>
      </c>
      <c r="B61" s="116">
        <f t="shared" si="4"/>
        <v>45307</v>
      </c>
      <c r="C61" s="115">
        <f t="shared" si="5"/>
        <v>42.6927</v>
      </c>
      <c r="D61" s="3">
        <f t="shared" si="2"/>
        <v>0.001475493669</v>
      </c>
      <c r="E61" s="1">
        <f t="shared" si="3"/>
        <v>56</v>
      </c>
      <c r="F61" s="116">
        <v>45294.0</v>
      </c>
      <c r="G61" s="115">
        <v>41.3576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15">
        <f t="shared" si="1"/>
        <v>44</v>
      </c>
      <c r="B62" s="116">
        <f t="shared" si="4"/>
        <v>45308</v>
      </c>
      <c r="C62" s="115">
        <f t="shared" si="5"/>
        <v>42.0974</v>
      </c>
      <c r="D62" s="3">
        <f t="shared" si="2"/>
        <v>-0.01394383583</v>
      </c>
      <c r="E62" s="1">
        <f t="shared" si="3"/>
        <v>57</v>
      </c>
      <c r="F62" s="116">
        <v>45293.0</v>
      </c>
      <c r="G62" s="115">
        <v>41.2784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5">
        <f t="shared" si="1"/>
        <v>43</v>
      </c>
      <c r="B63" s="116">
        <f t="shared" si="4"/>
        <v>45309</v>
      </c>
      <c r="C63" s="115">
        <f t="shared" si="5"/>
        <v>42.3216</v>
      </c>
      <c r="D63" s="3">
        <f t="shared" si="2"/>
        <v>0.005325744583</v>
      </c>
      <c r="E63" s="1">
        <f t="shared" si="3"/>
        <v>58</v>
      </c>
      <c r="F63" s="116">
        <v>45292.0</v>
      </c>
      <c r="G63" s="115">
        <v>41.4318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5">
        <f t="shared" si="1"/>
        <v>42</v>
      </c>
      <c r="B64" s="116">
        <f t="shared" si="4"/>
        <v>45310</v>
      </c>
      <c r="C64" s="115">
        <f t="shared" si="5"/>
        <v>42.5675</v>
      </c>
      <c r="D64" s="3">
        <f t="shared" si="2"/>
        <v>0.005810271823</v>
      </c>
      <c r="E64" s="1">
        <f t="shared" si="3"/>
        <v>59</v>
      </c>
      <c r="F64" s="116">
        <v>45289.0</v>
      </c>
      <c r="G64" s="115">
        <v>41.2228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5">
        <f t="shared" si="1"/>
        <v>41</v>
      </c>
      <c r="B65" s="116">
        <f t="shared" si="4"/>
        <v>45314</v>
      </c>
      <c r="C65" s="115">
        <f t="shared" si="5"/>
        <v>41.6744</v>
      </c>
      <c r="D65" s="3">
        <f t="shared" si="2"/>
        <v>-0.02098079521</v>
      </c>
      <c r="E65" s="1">
        <f t="shared" si="3"/>
        <v>60</v>
      </c>
      <c r="F65" s="116">
        <v>45288.0</v>
      </c>
      <c r="G65" s="115">
        <v>41.0272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5">
        <f t="shared" si="1"/>
        <v>40</v>
      </c>
      <c r="B66" s="116">
        <f t="shared" si="4"/>
        <v>45315</v>
      </c>
      <c r="C66" s="115">
        <f t="shared" si="5"/>
        <v>42.1817</v>
      </c>
      <c r="D66" s="3">
        <f t="shared" si="2"/>
        <v>0.0121729407</v>
      </c>
      <c r="E66" s="1">
        <f t="shared" si="3"/>
        <v>61</v>
      </c>
      <c r="F66" s="116">
        <v>45287.0</v>
      </c>
      <c r="G66" s="115">
        <v>40.8666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5">
        <f t="shared" si="1"/>
        <v>39</v>
      </c>
      <c r="B67" s="116">
        <f t="shared" si="4"/>
        <v>45316</v>
      </c>
      <c r="C67" s="115">
        <f t="shared" si="5"/>
        <v>42.1234</v>
      </c>
      <c r="D67" s="3">
        <f t="shared" si="2"/>
        <v>-0.001382115941</v>
      </c>
      <c r="E67" s="1">
        <f t="shared" si="3"/>
        <v>62</v>
      </c>
      <c r="F67" s="116">
        <v>45286.0</v>
      </c>
      <c r="G67" s="115">
        <v>40.5571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5">
        <f t="shared" si="1"/>
        <v>38</v>
      </c>
      <c r="B68" s="116">
        <f t="shared" si="4"/>
        <v>45320</v>
      </c>
      <c r="C68" s="115">
        <f t="shared" si="5"/>
        <v>42.9693</v>
      </c>
      <c r="D68" s="3">
        <f t="shared" si="2"/>
        <v>0.0200814749</v>
      </c>
      <c r="E68" s="1">
        <f t="shared" si="3"/>
        <v>63</v>
      </c>
      <c r="F68" s="116">
        <v>45282.0</v>
      </c>
      <c r="G68" s="115">
        <v>40.2758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15">
        <f t="shared" si="1"/>
        <v>37</v>
      </c>
      <c r="B69" s="116">
        <f t="shared" si="4"/>
        <v>45321</v>
      </c>
      <c r="C69" s="115">
        <f t="shared" si="5"/>
        <v>42.8148</v>
      </c>
      <c r="D69" s="3">
        <f t="shared" si="2"/>
        <v>-0.00359559034</v>
      </c>
      <c r="E69" s="1">
        <f t="shared" si="3"/>
        <v>64</v>
      </c>
      <c r="F69" s="116">
        <v>45281.0</v>
      </c>
      <c r="G69" s="115">
        <v>39.9173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15">
        <f t="shared" si="1"/>
        <v>36</v>
      </c>
      <c r="B70" s="116">
        <f t="shared" si="4"/>
        <v>45322</v>
      </c>
      <c r="C70" s="115">
        <f t="shared" si="5"/>
        <v>43.3876</v>
      </c>
      <c r="D70" s="3">
        <f t="shared" si="2"/>
        <v>0.01337855134</v>
      </c>
      <c r="E70" s="1">
        <f t="shared" si="3"/>
        <v>65</v>
      </c>
      <c r="F70" s="116">
        <v>45280.0</v>
      </c>
      <c r="G70" s="115">
        <v>39.3782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15">
        <f t="shared" si="1"/>
        <v>35</v>
      </c>
      <c r="B71" s="116">
        <f t="shared" si="4"/>
        <v>45323</v>
      </c>
      <c r="C71" s="115">
        <f t="shared" si="5"/>
        <v>43.3707</v>
      </c>
      <c r="D71" s="3">
        <f t="shared" si="2"/>
        <v>-0.0003895122109</v>
      </c>
      <c r="E71" s="1">
        <f t="shared" si="3"/>
        <v>66</v>
      </c>
      <c r="F71" s="116">
        <v>45279.0</v>
      </c>
      <c r="G71" s="115">
        <v>40.3114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15">
        <f t="shared" si="1"/>
        <v>34</v>
      </c>
      <c r="B72" s="116">
        <f t="shared" si="4"/>
        <v>45324</v>
      </c>
      <c r="C72" s="115">
        <f t="shared" si="5"/>
        <v>43.5865</v>
      </c>
      <c r="D72" s="3">
        <f t="shared" si="2"/>
        <v>0.004975709408</v>
      </c>
      <c r="E72" s="1">
        <f t="shared" si="3"/>
        <v>67</v>
      </c>
      <c r="F72" s="116">
        <v>45278.0</v>
      </c>
      <c r="G72" s="115">
        <v>40.3355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15">
        <f t="shared" si="1"/>
        <v>33</v>
      </c>
      <c r="B73" s="116">
        <f t="shared" si="4"/>
        <v>45327</v>
      </c>
      <c r="C73" s="115">
        <f t="shared" si="5"/>
        <v>43.2165</v>
      </c>
      <c r="D73" s="3">
        <f t="shared" si="2"/>
        <v>-0.008488866966</v>
      </c>
      <c r="E73" s="1">
        <f t="shared" si="3"/>
        <v>68</v>
      </c>
      <c r="F73" s="116">
        <v>45275.0</v>
      </c>
      <c r="G73" s="115">
        <v>40.2855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15">
        <f t="shared" si="1"/>
        <v>32</v>
      </c>
      <c r="B74" s="116">
        <f t="shared" si="4"/>
        <v>45328</v>
      </c>
      <c r="C74" s="115">
        <f t="shared" si="5"/>
        <v>43.8729</v>
      </c>
      <c r="D74" s="3">
        <f t="shared" si="2"/>
        <v>0.01518864323</v>
      </c>
      <c r="E74" s="1">
        <f t="shared" si="3"/>
        <v>69</v>
      </c>
      <c r="F74" s="116">
        <v>45274.0</v>
      </c>
      <c r="G74" s="115">
        <v>40.1723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5">
        <f t="shared" si="1"/>
        <v>31</v>
      </c>
      <c r="B75" s="116">
        <f t="shared" si="4"/>
        <v>45329</v>
      </c>
      <c r="C75" s="115">
        <f t="shared" si="5"/>
        <v>44.0766</v>
      </c>
      <c r="D75" s="3">
        <f t="shared" si="2"/>
        <v>0.00464295727</v>
      </c>
      <c r="E75" s="1">
        <f t="shared" si="3"/>
        <v>70</v>
      </c>
      <c r="F75" s="116">
        <v>45273.0</v>
      </c>
      <c r="G75" s="115">
        <v>39.7768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15">
        <f t="shared" si="1"/>
        <v>30</v>
      </c>
      <c r="B76" s="116">
        <f t="shared" si="4"/>
        <v>45330</v>
      </c>
      <c r="C76" s="115">
        <f t="shared" si="5"/>
        <v>43.9821</v>
      </c>
      <c r="D76" s="3">
        <f t="shared" si="2"/>
        <v>-0.002143994773</v>
      </c>
      <c r="E76" s="1">
        <f t="shared" si="3"/>
        <v>71</v>
      </c>
      <c r="F76" s="116">
        <v>45272.0</v>
      </c>
      <c r="G76" s="115">
        <v>39.6467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15">
        <f t="shared" si="1"/>
        <v>29</v>
      </c>
      <c r="B77" s="116">
        <f t="shared" si="4"/>
        <v>45331</v>
      </c>
      <c r="C77" s="115">
        <f t="shared" si="5"/>
        <v>43.7827</v>
      </c>
      <c r="D77" s="3">
        <f t="shared" si="2"/>
        <v>-0.004533662558</v>
      </c>
      <c r="E77" s="1">
        <f t="shared" si="3"/>
        <v>72</v>
      </c>
      <c r="F77" s="116">
        <v>45271.0</v>
      </c>
      <c r="G77" s="115">
        <v>39.9073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15">
        <f t="shared" si="1"/>
        <v>28</v>
      </c>
      <c r="B78" s="116">
        <f t="shared" si="4"/>
        <v>45334</v>
      </c>
      <c r="C78" s="115">
        <f t="shared" si="5"/>
        <v>43.2217</v>
      </c>
      <c r="D78" s="3">
        <f t="shared" si="2"/>
        <v>-0.01281328013</v>
      </c>
      <c r="E78" s="1">
        <f t="shared" si="3"/>
        <v>73</v>
      </c>
      <c r="F78" s="116">
        <v>45268.0</v>
      </c>
      <c r="G78" s="115">
        <v>39.687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15">
        <f t="shared" si="1"/>
        <v>27</v>
      </c>
      <c r="B79" s="116">
        <f t="shared" si="4"/>
        <v>45335</v>
      </c>
      <c r="C79" s="115">
        <f t="shared" si="5"/>
        <v>43.2326</v>
      </c>
      <c r="D79" s="3">
        <f t="shared" si="2"/>
        <v>0.000252188137</v>
      </c>
      <c r="E79" s="1">
        <f t="shared" si="3"/>
        <v>74</v>
      </c>
      <c r="F79" s="116">
        <v>45267.0</v>
      </c>
      <c r="G79" s="115">
        <v>39.817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15">
        <f t="shared" si="1"/>
        <v>26</v>
      </c>
      <c r="B80" s="116">
        <f t="shared" si="4"/>
        <v>45336</v>
      </c>
      <c r="C80" s="115">
        <f t="shared" si="5"/>
        <v>43.7633</v>
      </c>
      <c r="D80" s="3">
        <f t="shared" si="2"/>
        <v>0.0122754588</v>
      </c>
      <c r="E80" s="1">
        <f t="shared" si="3"/>
        <v>75</v>
      </c>
      <c r="F80" s="116">
        <v>45266.0</v>
      </c>
      <c r="G80" s="115">
        <v>39.6529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15">
        <f t="shared" si="1"/>
        <v>25</v>
      </c>
      <c r="B81" s="116">
        <f t="shared" si="4"/>
        <v>45337</v>
      </c>
      <c r="C81" s="115">
        <f t="shared" si="5"/>
        <v>44.0836</v>
      </c>
      <c r="D81" s="3">
        <f t="shared" si="2"/>
        <v>0.007318917906</v>
      </c>
      <c r="E81" s="1">
        <f t="shared" si="3"/>
        <v>76</v>
      </c>
      <c r="F81" s="116">
        <v>45265.0</v>
      </c>
      <c r="G81" s="115">
        <v>39.6346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15">
        <f t="shared" si="1"/>
        <v>24</v>
      </c>
      <c r="B82" s="116">
        <f t="shared" si="4"/>
        <v>45338</v>
      </c>
      <c r="C82" s="115">
        <f t="shared" si="5"/>
        <v>44.126</v>
      </c>
      <c r="D82" s="3">
        <f t="shared" si="2"/>
        <v>0.0009618089267</v>
      </c>
      <c r="E82" s="1">
        <f t="shared" si="3"/>
        <v>77</v>
      </c>
      <c r="F82" s="116">
        <v>45264.0</v>
      </c>
      <c r="G82" s="115">
        <v>39.4569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15">
        <f t="shared" si="1"/>
        <v>23</v>
      </c>
      <c r="B83" s="116">
        <f t="shared" si="4"/>
        <v>45341</v>
      </c>
      <c r="C83" s="115">
        <f t="shared" si="5"/>
        <v>44.2204</v>
      </c>
      <c r="D83" s="3">
        <f t="shared" si="2"/>
        <v>0.002139328287</v>
      </c>
      <c r="E83" s="1">
        <f t="shared" si="3"/>
        <v>78</v>
      </c>
      <c r="F83" s="116">
        <v>45261.0</v>
      </c>
      <c r="G83" s="115">
        <v>38.8076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15">
        <f t="shared" si="1"/>
        <v>22</v>
      </c>
      <c r="B84" s="116">
        <f t="shared" si="4"/>
        <v>45342</v>
      </c>
      <c r="C84" s="115">
        <f t="shared" si="5"/>
        <v>44.2755</v>
      </c>
      <c r="D84" s="3">
        <f t="shared" si="2"/>
        <v>0.001246031243</v>
      </c>
      <c r="E84" s="1">
        <f t="shared" si="3"/>
        <v>79</v>
      </c>
      <c r="F84" s="116">
        <v>45260.0</v>
      </c>
      <c r="G84" s="115">
        <v>38.5038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5">
        <f t="shared" si="1"/>
        <v>21</v>
      </c>
      <c r="B85" s="116">
        <f t="shared" si="4"/>
        <v>45343</v>
      </c>
      <c r="C85" s="115">
        <f t="shared" si="5"/>
        <v>44.1042</v>
      </c>
      <c r="D85" s="3">
        <f t="shared" si="2"/>
        <v>-0.003868956872</v>
      </c>
      <c r="E85" s="1">
        <f t="shared" si="3"/>
        <v>80</v>
      </c>
      <c r="F85" s="116">
        <v>45259.0</v>
      </c>
      <c r="G85" s="115">
        <v>38.1194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15">
        <f t="shared" si="1"/>
        <v>20</v>
      </c>
      <c r="B86" s="116">
        <f t="shared" si="4"/>
        <v>45344</v>
      </c>
      <c r="C86" s="115">
        <f t="shared" si="5"/>
        <v>44.3925</v>
      </c>
      <c r="D86" s="3">
        <f t="shared" si="2"/>
        <v>0.006536792414</v>
      </c>
      <c r="E86" s="1">
        <f t="shared" si="3"/>
        <v>81</v>
      </c>
      <c r="F86" s="116">
        <v>45258.0</v>
      </c>
      <c r="G86" s="115">
        <v>37.8429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15">
        <f t="shared" si="1"/>
        <v>19</v>
      </c>
      <c r="B87" s="116">
        <f t="shared" si="4"/>
        <v>45345</v>
      </c>
      <c r="C87" s="115">
        <f t="shared" si="5"/>
        <v>44.5581</v>
      </c>
      <c r="D87" s="3">
        <f t="shared" si="2"/>
        <v>0.003730359858</v>
      </c>
      <c r="E87" s="1">
        <f t="shared" si="3"/>
        <v>82</v>
      </c>
      <c r="F87" s="116">
        <v>45254.0</v>
      </c>
      <c r="G87" s="115">
        <v>37.5573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5">
        <f t="shared" si="1"/>
        <v>18</v>
      </c>
      <c r="B88" s="116">
        <f t="shared" si="4"/>
        <v>45348</v>
      </c>
      <c r="C88" s="115">
        <f t="shared" si="5"/>
        <v>44.6003</v>
      </c>
      <c r="D88" s="3">
        <f t="shared" si="2"/>
        <v>0.0009470780846</v>
      </c>
      <c r="E88" s="1">
        <f t="shared" si="3"/>
        <v>83</v>
      </c>
      <c r="F88" s="116">
        <v>45253.0</v>
      </c>
      <c r="G88" s="115">
        <v>37.4802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15">
        <f t="shared" si="1"/>
        <v>17</v>
      </c>
      <c r="B89" s="116">
        <f t="shared" si="4"/>
        <v>45349</v>
      </c>
      <c r="C89" s="115">
        <f t="shared" si="5"/>
        <v>44.6889</v>
      </c>
      <c r="D89" s="3">
        <f t="shared" si="2"/>
        <v>0.001986533723</v>
      </c>
      <c r="E89" s="1">
        <f t="shared" si="3"/>
        <v>84</v>
      </c>
      <c r="F89" s="116">
        <v>45252.0</v>
      </c>
      <c r="G89" s="115">
        <v>37.4185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5">
        <f t="shared" si="1"/>
        <v>16</v>
      </c>
      <c r="B90" s="116">
        <f t="shared" si="4"/>
        <v>45350</v>
      </c>
      <c r="C90" s="115">
        <f t="shared" si="5"/>
        <v>44.0995</v>
      </c>
      <c r="D90" s="3">
        <f t="shared" si="2"/>
        <v>-0.01318895744</v>
      </c>
      <c r="E90" s="1">
        <f t="shared" si="3"/>
        <v>85</v>
      </c>
      <c r="F90" s="116">
        <v>45251.0</v>
      </c>
      <c r="G90" s="115">
        <v>37.5461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5">
        <f t="shared" si="1"/>
        <v>15</v>
      </c>
      <c r="B91" s="116">
        <f t="shared" si="4"/>
        <v>45351</v>
      </c>
      <c r="C91" s="115">
        <f t="shared" si="5"/>
        <v>44.1476</v>
      </c>
      <c r="D91" s="3">
        <f t="shared" si="2"/>
        <v>0.001090715314</v>
      </c>
      <c r="E91" s="1">
        <f t="shared" si="3"/>
        <v>86</v>
      </c>
      <c r="F91" s="116">
        <v>45250.0</v>
      </c>
      <c r="G91" s="115">
        <v>37.3857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15">
        <f t="shared" si="1"/>
        <v>14</v>
      </c>
      <c r="B92" s="116">
        <f t="shared" si="4"/>
        <v>45352</v>
      </c>
      <c r="C92" s="115">
        <f t="shared" si="5"/>
        <v>44.8454</v>
      </c>
      <c r="D92" s="3">
        <f t="shared" si="2"/>
        <v>0.01580606873</v>
      </c>
      <c r="E92" s="1">
        <f t="shared" si="3"/>
        <v>87</v>
      </c>
      <c r="F92" s="116">
        <v>45247.0</v>
      </c>
      <c r="G92" s="115">
        <v>37.5562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15">
        <f t="shared" si="1"/>
        <v>13</v>
      </c>
      <c r="B93" s="116">
        <f t="shared" si="4"/>
        <v>45355</v>
      </c>
      <c r="C93" s="115">
        <f t="shared" si="5"/>
        <v>45.1291</v>
      </c>
      <c r="D93" s="3">
        <f t="shared" si="2"/>
        <v>0.006326178382</v>
      </c>
      <c r="E93" s="1">
        <f t="shared" si="3"/>
        <v>88</v>
      </c>
      <c r="F93" s="116">
        <v>45246.0</v>
      </c>
      <c r="G93" s="115">
        <v>37.3196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5">
        <f t="shared" si="1"/>
        <v>12</v>
      </c>
      <c r="B94" s="116">
        <f t="shared" si="4"/>
        <v>45356</v>
      </c>
      <c r="C94" s="115">
        <f t="shared" si="5"/>
        <v>45.0918</v>
      </c>
      <c r="D94" s="3">
        <f t="shared" si="2"/>
        <v>-0.0008265177014</v>
      </c>
      <c r="E94" s="1">
        <f t="shared" si="3"/>
        <v>89</v>
      </c>
      <c r="F94" s="116">
        <v>45245.0</v>
      </c>
      <c r="G94" s="115">
        <v>37.1633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15">
        <f t="shared" si="1"/>
        <v>11</v>
      </c>
      <c r="B95" s="116">
        <f t="shared" si="4"/>
        <v>45357</v>
      </c>
      <c r="C95" s="115">
        <f t="shared" si="5"/>
        <v>44.6805</v>
      </c>
      <c r="D95" s="3">
        <f t="shared" si="2"/>
        <v>-0.00912139236</v>
      </c>
      <c r="E95" s="1">
        <f t="shared" si="3"/>
        <v>90</v>
      </c>
      <c r="F95" s="116">
        <v>45243.0</v>
      </c>
      <c r="G95" s="115">
        <v>36.6874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15">
        <f t="shared" si="1"/>
        <v>10</v>
      </c>
      <c r="B96" s="116">
        <f t="shared" si="4"/>
        <v>45358</v>
      </c>
      <c r="C96" s="115">
        <f t="shared" si="5"/>
        <v>44.8536</v>
      </c>
      <c r="D96" s="3">
        <f t="shared" si="2"/>
        <v>0.003874173297</v>
      </c>
      <c r="E96" s="1">
        <f t="shared" si="3"/>
        <v>91</v>
      </c>
      <c r="F96" s="116">
        <v>45240.0</v>
      </c>
      <c r="G96" s="115">
        <v>36.5037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5">
        <f t="shared" si="1"/>
        <v>9</v>
      </c>
      <c r="B97" s="116">
        <f t="shared" si="4"/>
        <v>45362</v>
      </c>
      <c r="C97" s="115">
        <f t="shared" si="5"/>
        <v>44.6097</v>
      </c>
      <c r="D97" s="3">
        <f t="shared" si="2"/>
        <v>-0.00543769062</v>
      </c>
      <c r="E97" s="1">
        <f t="shared" si="3"/>
        <v>92</v>
      </c>
      <c r="F97" s="116">
        <v>45239.0</v>
      </c>
      <c r="G97" s="115">
        <v>36.3868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15">
        <f t="shared" si="1"/>
        <v>8</v>
      </c>
      <c r="B98" s="116">
        <f t="shared" si="4"/>
        <v>45363</v>
      </c>
      <c r="C98" s="115">
        <f t="shared" si="5"/>
        <v>44.346</v>
      </c>
      <c r="D98" s="3">
        <f t="shared" si="2"/>
        <v>-0.005911270419</v>
      </c>
      <c r="E98" s="1">
        <f t="shared" si="3"/>
        <v>93</v>
      </c>
      <c r="F98" s="116">
        <v>45238.0</v>
      </c>
      <c r="G98" s="115">
        <v>36.3129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15">
        <f t="shared" si="1"/>
        <v>7</v>
      </c>
      <c r="B99" s="116">
        <f t="shared" si="4"/>
        <v>45364</v>
      </c>
      <c r="C99" s="115">
        <f t="shared" si="5"/>
        <v>42.9282</v>
      </c>
      <c r="D99" s="3">
        <f t="shared" si="2"/>
        <v>-0.03197131647</v>
      </c>
      <c r="E99" s="1">
        <f t="shared" si="3"/>
        <v>94</v>
      </c>
      <c r="F99" s="116">
        <v>45237.0</v>
      </c>
      <c r="G99" s="115">
        <v>36.1561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5">
        <f t="shared" si="1"/>
        <v>6</v>
      </c>
      <c r="B100" s="116">
        <f t="shared" si="4"/>
        <v>45365</v>
      </c>
      <c r="C100" s="115">
        <f t="shared" si="5"/>
        <v>43.528</v>
      </c>
      <c r="D100" s="3">
        <f t="shared" si="2"/>
        <v>0.01397216748</v>
      </c>
      <c r="E100" s="1">
        <f t="shared" si="3"/>
        <v>95</v>
      </c>
      <c r="F100" s="116">
        <v>45236.0</v>
      </c>
      <c r="G100" s="115">
        <v>36.0208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15">
        <f t="shared" si="1"/>
        <v>5</v>
      </c>
      <c r="B101" s="116">
        <f t="shared" si="4"/>
        <v>45366</v>
      </c>
      <c r="C101" s="115">
        <f t="shared" si="5"/>
        <v>43.5696</v>
      </c>
      <c r="D101" s="3">
        <f t="shared" si="2"/>
        <v>0.0009557066716</v>
      </c>
      <c r="E101" s="1">
        <f t="shared" si="3"/>
        <v>96</v>
      </c>
      <c r="F101" s="116">
        <v>45233.0</v>
      </c>
      <c r="G101" s="115">
        <v>35.5896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5">
        <f t="shared" si="1"/>
        <v>4</v>
      </c>
      <c r="B102" s="116">
        <f t="shared" si="4"/>
        <v>45369</v>
      </c>
      <c r="C102" s="115">
        <f t="shared" si="5"/>
        <v>43.8653</v>
      </c>
      <c r="D102" s="3">
        <f t="shared" si="2"/>
        <v>0.006786842202</v>
      </c>
      <c r="E102" s="1">
        <f t="shared" si="3"/>
        <v>97</v>
      </c>
      <c r="F102" s="116">
        <v>45232.0</v>
      </c>
      <c r="G102" s="115">
        <v>35.2727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5">
        <f t="shared" si="1"/>
        <v>3</v>
      </c>
      <c r="B103" s="116">
        <f t="shared" si="4"/>
        <v>45370</v>
      </c>
      <c r="C103" s="115">
        <f t="shared" si="5"/>
        <v>43.7094</v>
      </c>
      <c r="D103" s="3">
        <f t="shared" si="2"/>
        <v>-0.003554062095</v>
      </c>
      <c r="E103" s="1">
        <f t="shared" si="3"/>
        <v>98</v>
      </c>
      <c r="F103" s="116">
        <v>45231.0</v>
      </c>
      <c r="G103" s="115">
        <v>34.9053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5">
        <f t="shared" si="1"/>
        <v>2</v>
      </c>
      <c r="B104" s="116">
        <f t="shared" si="4"/>
        <v>45371</v>
      </c>
      <c r="C104" s="115">
        <f t="shared" si="5"/>
        <v>43.7079</v>
      </c>
      <c r="D104" s="3">
        <f t="shared" si="2"/>
        <v>-0.00003431756098</v>
      </c>
      <c r="E104" s="1">
        <f t="shared" si="3"/>
        <v>99</v>
      </c>
      <c r="F104" s="116">
        <v>45230.0</v>
      </c>
      <c r="G104" s="115">
        <v>34.993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15">
        <f t="shared" si="1"/>
        <v>1</v>
      </c>
      <c r="B105" s="116">
        <f t="shared" si="4"/>
        <v>45372</v>
      </c>
      <c r="C105" s="115">
        <f t="shared" si="5"/>
        <v>44.3613</v>
      </c>
      <c r="D105" s="3">
        <f t="shared" si="2"/>
        <v>0.01494924259</v>
      </c>
      <c r="E105" s="1">
        <f t="shared" si="3"/>
        <v>100</v>
      </c>
      <c r="F105" s="116">
        <v>45229.0</v>
      </c>
      <c r="G105" s="115">
        <v>34.939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16">
        <f t="shared" si="4"/>
        <v>45373</v>
      </c>
      <c r="C106" s="115">
        <f t="shared" si="5"/>
        <v>44.7675</v>
      </c>
      <c r="D106" s="3">
        <f t="shared" si="2"/>
        <v>0.009156629765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16">
        <f t="shared" si="4"/>
        <v>45377</v>
      </c>
      <c r="C107" s="115">
        <f t="shared" si="5"/>
        <v>44.8657</v>
      </c>
      <c r="D107" s="3">
        <f t="shared" si="2"/>
        <v>0.002193555593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1" width="10.56"/>
    <col customWidth="1" min="2" max="4" width="10.78"/>
    <col customWidth="1" hidden="1" min="5" max="7" width="10.56"/>
    <col customWidth="1" min="8" max="10" width="10.78"/>
    <col customWidth="1" min="11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61</v>
      </c>
      <c r="C5" s="1" t="s">
        <v>180</v>
      </c>
      <c r="D5" s="1" t="s">
        <v>51</v>
      </c>
      <c r="E5" s="1"/>
      <c r="F5" s="114" t="s">
        <v>182</v>
      </c>
      <c r="G5" s="114" t="s">
        <v>183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f>102</f>
        <v>102</v>
      </c>
      <c r="B6" s="110">
        <f t="shared" ref="B6:B107" si="1">VLOOKUP(A6,$E$6:$G$107,2)</f>
        <v>45225</v>
      </c>
      <c r="C6" s="1">
        <f t="shared" ref="C6:C107" si="2">VLOOKUP(A6,$E$6:$G$107,3)</f>
        <v>924.624</v>
      </c>
      <c r="D6" s="103" t="s">
        <v>64</v>
      </c>
      <c r="E6" s="1">
        <v>1.0</v>
      </c>
      <c r="F6" s="116">
        <v>45377.0</v>
      </c>
      <c r="G6" s="115">
        <v>1150.794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ref="A7:A107" si="3">A6-1</f>
        <v>101</v>
      </c>
      <c r="B7" s="110">
        <f t="shared" si="1"/>
        <v>45226</v>
      </c>
      <c r="C7" s="1">
        <f t="shared" si="2"/>
        <v>934.799</v>
      </c>
      <c r="D7" s="3">
        <f t="shared" ref="D7:D107" si="4">C7/C6-1</f>
        <v>0.01100447317</v>
      </c>
      <c r="E7" s="1">
        <f t="shared" ref="E7:E107" si="5">1+E6</f>
        <v>2</v>
      </c>
      <c r="F7" s="116">
        <v>45373.0</v>
      </c>
      <c r="G7" s="115">
        <v>1152.615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100</v>
      </c>
      <c r="B8" s="110">
        <f t="shared" si="1"/>
        <v>45229</v>
      </c>
      <c r="C8" s="1">
        <f t="shared" si="2"/>
        <v>937.419</v>
      </c>
      <c r="D8" s="3">
        <f t="shared" si="4"/>
        <v>0.002802741552</v>
      </c>
      <c r="E8" s="1">
        <f t="shared" si="5"/>
        <v>3</v>
      </c>
      <c r="F8" s="116">
        <v>45372.0</v>
      </c>
      <c r="G8" s="115">
        <v>1145.283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99</v>
      </c>
      <c r="B9" s="110">
        <f t="shared" si="1"/>
        <v>45230</v>
      </c>
      <c r="C9" s="1">
        <f t="shared" si="2"/>
        <v>935.538</v>
      </c>
      <c r="D9" s="3">
        <f t="shared" si="4"/>
        <v>-0.002006573368</v>
      </c>
      <c r="E9" s="1">
        <f t="shared" si="5"/>
        <v>4</v>
      </c>
      <c r="F9" s="116">
        <v>45371.0</v>
      </c>
      <c r="G9" s="115">
        <v>1134.773</v>
      </c>
      <c r="H9" s="1"/>
      <c r="I9" s="2" t="s">
        <v>51</v>
      </c>
      <c r="J9" s="3">
        <f>AVERAGE(D7:D107)</f>
        <v>0.00219188706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98</v>
      </c>
      <c r="B10" s="110">
        <f t="shared" si="1"/>
        <v>45231</v>
      </c>
      <c r="C10" s="1">
        <f t="shared" si="2"/>
        <v>931.494</v>
      </c>
      <c r="D10" s="3">
        <f t="shared" si="4"/>
        <v>-0.004322646434</v>
      </c>
      <c r="E10" s="1">
        <f t="shared" si="5"/>
        <v>5</v>
      </c>
      <c r="F10" s="116">
        <v>45370.0</v>
      </c>
      <c r="G10" s="115">
        <v>1135.71</v>
      </c>
      <c r="H10" s="1"/>
      <c r="I10" s="1" t="s">
        <v>67</v>
      </c>
      <c r="J10" s="3">
        <f>STDEV(D7:D107)</f>
        <v>0.006815444652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97</v>
      </c>
      <c r="B11" s="110">
        <f t="shared" si="1"/>
        <v>45232</v>
      </c>
      <c r="C11" s="1">
        <f t="shared" si="2"/>
        <v>938.616</v>
      </c>
      <c r="D11" s="3">
        <f t="shared" si="4"/>
        <v>0.007645781937</v>
      </c>
      <c r="E11" s="1">
        <f t="shared" si="5"/>
        <v>6</v>
      </c>
      <c r="F11" s="116">
        <v>45369.0</v>
      </c>
      <c r="G11" s="115">
        <v>1147.039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96</v>
      </c>
      <c r="B12" s="110">
        <f t="shared" si="1"/>
        <v>45233</v>
      </c>
      <c r="C12" s="1">
        <f t="shared" si="2"/>
        <v>946.677</v>
      </c>
      <c r="D12" s="3">
        <f t="shared" si="4"/>
        <v>0.008588176635</v>
      </c>
      <c r="E12" s="1">
        <f t="shared" si="5"/>
        <v>7</v>
      </c>
      <c r="F12" s="116">
        <v>45366.0</v>
      </c>
      <c r="G12" s="115">
        <v>1144.849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95</v>
      </c>
      <c r="B13" s="110">
        <f t="shared" si="1"/>
        <v>45236</v>
      </c>
      <c r="C13" s="1">
        <f t="shared" si="2"/>
        <v>953.557</v>
      </c>
      <c r="D13" s="3">
        <f t="shared" si="4"/>
        <v>0.007267526305</v>
      </c>
      <c r="E13" s="1">
        <f t="shared" si="5"/>
        <v>8</v>
      </c>
      <c r="F13" s="116">
        <v>45365.0</v>
      </c>
      <c r="G13" s="115">
        <v>1152.443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94</v>
      </c>
      <c r="B14" s="110">
        <f t="shared" si="1"/>
        <v>45237</v>
      </c>
      <c r="C14" s="1">
        <f t="shared" si="2"/>
        <v>958.162</v>
      </c>
      <c r="D14" s="3">
        <f t="shared" si="4"/>
        <v>0.004829286555</v>
      </c>
      <c r="E14" s="1">
        <f t="shared" si="5"/>
        <v>9</v>
      </c>
      <c r="F14" s="116">
        <v>45364.0</v>
      </c>
      <c r="G14" s="115">
        <v>1145.583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93</v>
      </c>
      <c r="B15" s="110">
        <f t="shared" si="1"/>
        <v>45238</v>
      </c>
      <c r="C15" s="1">
        <f t="shared" si="2"/>
        <v>960.929</v>
      </c>
      <c r="D15" s="3">
        <f t="shared" si="4"/>
        <v>0.00288782064</v>
      </c>
      <c r="E15" s="1">
        <f t="shared" si="5"/>
        <v>10</v>
      </c>
      <c r="F15" s="116">
        <v>45363.0</v>
      </c>
      <c r="G15" s="115">
        <v>1166.135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92</v>
      </c>
      <c r="B16" s="110">
        <f t="shared" si="1"/>
        <v>45239</v>
      </c>
      <c r="C16" s="1">
        <f t="shared" si="2"/>
        <v>962.936</v>
      </c>
      <c r="D16" s="3">
        <f t="shared" si="4"/>
        <v>0.002088603841</v>
      </c>
      <c r="E16" s="1">
        <f t="shared" si="5"/>
        <v>11</v>
      </c>
      <c r="F16" s="116">
        <v>45362.0</v>
      </c>
      <c r="G16" s="115">
        <v>1172.41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91</v>
      </c>
      <c r="B17" s="110">
        <f t="shared" si="1"/>
        <v>45240</v>
      </c>
      <c r="C17" s="1">
        <f t="shared" si="2"/>
        <v>965.671</v>
      </c>
      <c r="D17" s="3">
        <f t="shared" si="4"/>
        <v>0.002840271835</v>
      </c>
      <c r="E17" s="1">
        <f t="shared" si="5"/>
        <v>12</v>
      </c>
      <c r="F17" s="116">
        <v>45358.0</v>
      </c>
      <c r="G17" s="115">
        <v>1176.079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90</v>
      </c>
      <c r="B18" s="110">
        <f t="shared" si="1"/>
        <v>45243</v>
      </c>
      <c r="C18" s="1">
        <f t="shared" si="2"/>
        <v>964.609</v>
      </c>
      <c r="D18" s="3">
        <f t="shared" si="4"/>
        <v>-0.001099753436</v>
      </c>
      <c r="E18" s="1">
        <f t="shared" si="5"/>
        <v>13</v>
      </c>
      <c r="F18" s="116">
        <v>45357.0</v>
      </c>
      <c r="G18" s="115">
        <v>1175.482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89</v>
      </c>
      <c r="B19" s="110">
        <f t="shared" si="1"/>
        <v>45245</v>
      </c>
      <c r="C19" s="1">
        <f t="shared" si="2"/>
        <v>975.247</v>
      </c>
      <c r="D19" s="3">
        <f t="shared" si="4"/>
        <v>0.01102830266</v>
      </c>
      <c r="E19" s="1">
        <f t="shared" si="5"/>
        <v>14</v>
      </c>
      <c r="F19" s="116">
        <v>45356.0</v>
      </c>
      <c r="G19" s="115">
        <v>1168.75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88</v>
      </c>
      <c r="B20" s="110">
        <f t="shared" si="1"/>
        <v>45246</v>
      </c>
      <c r="C20" s="1">
        <f t="shared" si="2"/>
        <v>983.719</v>
      </c>
      <c r="D20" s="3">
        <f t="shared" si="4"/>
        <v>0.008687030055</v>
      </c>
      <c r="E20" s="1">
        <f t="shared" si="5"/>
        <v>15</v>
      </c>
      <c r="F20" s="116">
        <v>45355.0</v>
      </c>
      <c r="G20" s="115">
        <v>1166.891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87</v>
      </c>
      <c r="B21" s="110">
        <f t="shared" si="1"/>
        <v>45247</v>
      </c>
      <c r="C21" s="1">
        <f t="shared" si="2"/>
        <v>980.462</v>
      </c>
      <c r="D21" s="3">
        <f t="shared" si="4"/>
        <v>-0.003310904842</v>
      </c>
      <c r="E21" s="1">
        <f t="shared" si="5"/>
        <v>16</v>
      </c>
      <c r="F21" s="116">
        <v>45352.0</v>
      </c>
      <c r="G21" s="115">
        <v>1162.848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86</v>
      </c>
      <c r="B22" s="110">
        <f t="shared" si="1"/>
        <v>45250</v>
      </c>
      <c r="C22" s="1">
        <f t="shared" si="2"/>
        <v>981.296</v>
      </c>
      <c r="D22" s="3">
        <f t="shared" si="4"/>
        <v>0.0008506194019</v>
      </c>
      <c r="E22" s="1">
        <f t="shared" si="5"/>
        <v>17</v>
      </c>
      <c r="F22" s="116">
        <v>45351.0</v>
      </c>
      <c r="G22" s="115">
        <v>1149.356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85</v>
      </c>
      <c r="B23" s="110">
        <f t="shared" si="1"/>
        <v>45251</v>
      </c>
      <c r="C23" s="1">
        <f t="shared" si="2"/>
        <v>984.626</v>
      </c>
      <c r="D23" s="3">
        <f t="shared" si="4"/>
        <v>0.003393471491</v>
      </c>
      <c r="E23" s="1">
        <f t="shared" si="5"/>
        <v>18</v>
      </c>
      <c r="F23" s="116">
        <v>45350.0</v>
      </c>
      <c r="G23" s="115">
        <v>1150.161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84</v>
      </c>
      <c r="B24" s="110">
        <f t="shared" si="1"/>
        <v>45252</v>
      </c>
      <c r="C24" s="1">
        <f t="shared" si="2"/>
        <v>986.219</v>
      </c>
      <c r="D24" s="3">
        <f t="shared" si="4"/>
        <v>0.001617873182</v>
      </c>
      <c r="E24" s="1">
        <f t="shared" si="5"/>
        <v>19</v>
      </c>
      <c r="F24" s="116">
        <v>45349.0</v>
      </c>
      <c r="G24" s="115">
        <v>1161.762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83</v>
      </c>
      <c r="B25" s="110">
        <f t="shared" si="1"/>
        <v>45253</v>
      </c>
      <c r="C25" s="1">
        <f t="shared" si="2"/>
        <v>984.257</v>
      </c>
      <c r="D25" s="3">
        <f t="shared" si="4"/>
        <v>-0.001989416144</v>
      </c>
      <c r="E25" s="1">
        <f t="shared" si="5"/>
        <v>20</v>
      </c>
      <c r="F25" s="116">
        <v>45348.0</v>
      </c>
      <c r="G25" s="115">
        <v>1158.348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82</v>
      </c>
      <c r="B26" s="110">
        <f t="shared" si="1"/>
        <v>45254</v>
      </c>
      <c r="C26" s="1">
        <f t="shared" si="2"/>
        <v>988.919</v>
      </c>
      <c r="D26" s="3">
        <f t="shared" si="4"/>
        <v>0.004736567787</v>
      </c>
      <c r="E26" s="1">
        <f t="shared" si="5"/>
        <v>21</v>
      </c>
      <c r="F26" s="116">
        <v>45345.0</v>
      </c>
      <c r="G26" s="115">
        <v>1162.44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81</v>
      </c>
      <c r="B27" s="110">
        <f t="shared" si="1"/>
        <v>45258</v>
      </c>
      <c r="C27" s="1">
        <f t="shared" si="2"/>
        <v>994.403</v>
      </c>
      <c r="D27" s="3">
        <f t="shared" si="4"/>
        <v>0.005545449122</v>
      </c>
      <c r="E27" s="1">
        <f t="shared" si="5"/>
        <v>22</v>
      </c>
      <c r="F27" s="116">
        <v>45344.0</v>
      </c>
      <c r="G27" s="115">
        <v>1162.909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80</v>
      </c>
      <c r="B28" s="110">
        <f t="shared" si="1"/>
        <v>45259</v>
      </c>
      <c r="C28" s="1">
        <f t="shared" si="2"/>
        <v>1005.203</v>
      </c>
      <c r="D28" s="3">
        <f t="shared" si="4"/>
        <v>0.01086078783</v>
      </c>
      <c r="E28" s="1">
        <f t="shared" si="5"/>
        <v>23</v>
      </c>
      <c r="F28" s="116">
        <v>45343.0</v>
      </c>
      <c r="G28" s="115">
        <v>1155.588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79</v>
      </c>
      <c r="B29" s="110">
        <f t="shared" si="1"/>
        <v>45260</v>
      </c>
      <c r="C29" s="1">
        <f t="shared" si="2"/>
        <v>1013.107</v>
      </c>
      <c r="D29" s="3">
        <f t="shared" si="4"/>
        <v>0.007863088351</v>
      </c>
      <c r="E29" s="1">
        <f t="shared" si="5"/>
        <v>24</v>
      </c>
      <c r="F29" s="116">
        <v>45342.0</v>
      </c>
      <c r="G29" s="115">
        <v>1162.321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78</v>
      </c>
      <c r="B30" s="110">
        <f t="shared" si="1"/>
        <v>45261</v>
      </c>
      <c r="C30" s="1">
        <f t="shared" si="2"/>
        <v>1020.696</v>
      </c>
      <c r="D30" s="3">
        <f t="shared" si="4"/>
        <v>0.00749081785</v>
      </c>
      <c r="E30" s="1">
        <f t="shared" si="5"/>
        <v>25</v>
      </c>
      <c r="F30" s="116">
        <v>45341.0</v>
      </c>
      <c r="G30" s="115">
        <v>1155.315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77</v>
      </c>
      <c r="B31" s="110">
        <f t="shared" si="1"/>
        <v>45264</v>
      </c>
      <c r="C31" s="1">
        <f t="shared" si="2"/>
        <v>1043.351</v>
      </c>
      <c r="D31" s="3">
        <f t="shared" si="4"/>
        <v>0.02219563905</v>
      </c>
      <c r="E31" s="1">
        <f t="shared" si="5"/>
        <v>26</v>
      </c>
      <c r="F31" s="116">
        <v>45338.0</v>
      </c>
      <c r="G31" s="115">
        <v>1151.714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76</v>
      </c>
      <c r="B32" s="110">
        <f t="shared" si="1"/>
        <v>45265</v>
      </c>
      <c r="C32" s="1">
        <f t="shared" si="2"/>
        <v>1050.63</v>
      </c>
      <c r="D32" s="3">
        <f t="shared" si="4"/>
        <v>0.006976559183</v>
      </c>
      <c r="E32" s="1">
        <f t="shared" si="5"/>
        <v>27</v>
      </c>
      <c r="F32" s="116">
        <v>45337.0</v>
      </c>
      <c r="G32" s="115">
        <v>1143.209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75</v>
      </c>
      <c r="B33" s="110">
        <f t="shared" si="1"/>
        <v>45266</v>
      </c>
      <c r="C33" s="1">
        <f t="shared" si="2"/>
        <v>1051.864</v>
      </c>
      <c r="D33" s="3">
        <f t="shared" si="4"/>
        <v>0.001174533375</v>
      </c>
      <c r="E33" s="1">
        <f t="shared" si="5"/>
        <v>28</v>
      </c>
      <c r="F33" s="116">
        <v>45336.0</v>
      </c>
      <c r="G33" s="115">
        <v>1134.474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74</v>
      </c>
      <c r="B34" s="110">
        <f t="shared" si="1"/>
        <v>45267</v>
      </c>
      <c r="C34" s="1">
        <f t="shared" si="2"/>
        <v>1053.614</v>
      </c>
      <c r="D34" s="3">
        <f t="shared" si="4"/>
        <v>0.00166371318</v>
      </c>
      <c r="E34" s="1">
        <f t="shared" si="5"/>
        <v>29</v>
      </c>
      <c r="F34" s="116">
        <v>45335.0</v>
      </c>
      <c r="G34" s="115">
        <v>1130.119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73</v>
      </c>
      <c r="B35" s="110">
        <f t="shared" si="1"/>
        <v>45268</v>
      </c>
      <c r="C35" s="1">
        <f t="shared" si="2"/>
        <v>1060.858</v>
      </c>
      <c r="D35" s="3">
        <f t="shared" si="4"/>
        <v>0.006875383205</v>
      </c>
      <c r="E35" s="1">
        <f t="shared" si="5"/>
        <v>30</v>
      </c>
      <c r="F35" s="116">
        <v>45334.0</v>
      </c>
      <c r="G35" s="115">
        <v>1119.843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72</v>
      </c>
      <c r="B36" s="110">
        <f t="shared" si="1"/>
        <v>45271</v>
      </c>
      <c r="C36" s="1">
        <f t="shared" si="2"/>
        <v>1061.141</v>
      </c>
      <c r="D36" s="3">
        <f t="shared" si="4"/>
        <v>0.0002667652033</v>
      </c>
      <c r="E36" s="1">
        <f t="shared" si="5"/>
        <v>31</v>
      </c>
      <c r="F36" s="116">
        <v>45331.0</v>
      </c>
      <c r="G36" s="115">
        <v>1127.816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71</v>
      </c>
      <c r="B37" s="110">
        <f t="shared" si="1"/>
        <v>45272</v>
      </c>
      <c r="C37" s="1">
        <f t="shared" si="2"/>
        <v>1054.647</v>
      </c>
      <c r="D37" s="3">
        <f t="shared" si="4"/>
        <v>-0.00611982762</v>
      </c>
      <c r="E37" s="1">
        <f t="shared" si="5"/>
        <v>32</v>
      </c>
      <c r="F37" s="116">
        <v>45330.0</v>
      </c>
      <c r="G37" s="115">
        <v>1127.594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70</v>
      </c>
      <c r="B38" s="110">
        <f t="shared" si="1"/>
        <v>45273</v>
      </c>
      <c r="C38" s="1">
        <f t="shared" si="2"/>
        <v>1060.978</v>
      </c>
      <c r="D38" s="3">
        <f t="shared" si="4"/>
        <v>0.006002956439</v>
      </c>
      <c r="E38" s="1">
        <f t="shared" si="5"/>
        <v>33</v>
      </c>
      <c r="F38" s="116">
        <v>45329.0</v>
      </c>
      <c r="G38" s="115">
        <v>1130.476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69</v>
      </c>
      <c r="B39" s="110">
        <f t="shared" si="1"/>
        <v>45274</v>
      </c>
      <c r="C39" s="1">
        <f t="shared" si="2"/>
        <v>1071.315</v>
      </c>
      <c r="D39" s="3">
        <f t="shared" si="4"/>
        <v>0.009742897591</v>
      </c>
      <c r="E39" s="1">
        <f t="shared" si="5"/>
        <v>34</v>
      </c>
      <c r="F39" s="116">
        <v>45328.0</v>
      </c>
      <c r="G39" s="115">
        <v>1130.075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68</v>
      </c>
      <c r="B40" s="110">
        <f t="shared" si="1"/>
        <v>45275</v>
      </c>
      <c r="C40" s="1">
        <f t="shared" si="2"/>
        <v>1080.579</v>
      </c>
      <c r="D40" s="3">
        <f t="shared" si="4"/>
        <v>0.008647316616</v>
      </c>
      <c r="E40" s="1">
        <f t="shared" si="5"/>
        <v>35</v>
      </c>
      <c r="F40" s="116">
        <v>45327.0</v>
      </c>
      <c r="G40" s="115">
        <v>1121.257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67</v>
      </c>
      <c r="B41" s="110">
        <f t="shared" si="1"/>
        <v>45278</v>
      </c>
      <c r="C41" s="1">
        <f t="shared" si="2"/>
        <v>1080.283</v>
      </c>
      <c r="D41" s="3">
        <f t="shared" si="4"/>
        <v>-0.0002739272186</v>
      </c>
      <c r="E41" s="1">
        <f t="shared" si="5"/>
        <v>36</v>
      </c>
      <c r="F41" s="116">
        <v>45324.0</v>
      </c>
      <c r="G41" s="115">
        <v>1123.981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66</v>
      </c>
      <c r="B42" s="110">
        <f t="shared" si="1"/>
        <v>45279</v>
      </c>
      <c r="C42" s="1">
        <f t="shared" si="2"/>
        <v>1080.174</v>
      </c>
      <c r="D42" s="3">
        <f t="shared" si="4"/>
        <v>-0.0001008994865</v>
      </c>
      <c r="E42" s="1">
        <f t="shared" si="5"/>
        <v>37</v>
      </c>
      <c r="F42" s="116">
        <v>45323.0</v>
      </c>
      <c r="G42" s="115">
        <v>1121.224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65</v>
      </c>
      <c r="B43" s="110">
        <f t="shared" si="1"/>
        <v>45280</v>
      </c>
      <c r="C43" s="1">
        <f t="shared" si="2"/>
        <v>1061.055</v>
      </c>
      <c r="D43" s="3">
        <f t="shared" si="4"/>
        <v>-0.01769992612</v>
      </c>
      <c r="E43" s="1">
        <f t="shared" si="5"/>
        <v>38</v>
      </c>
      <c r="F43" s="116">
        <v>45322.0</v>
      </c>
      <c r="G43" s="115">
        <v>1118.071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64</v>
      </c>
      <c r="B44" s="110">
        <f t="shared" si="1"/>
        <v>45281</v>
      </c>
      <c r="C44" s="1">
        <f t="shared" si="2"/>
        <v>1064.056</v>
      </c>
      <c r="D44" s="3">
        <f t="shared" si="4"/>
        <v>0.002828317099</v>
      </c>
      <c r="E44" s="1">
        <f t="shared" si="5"/>
        <v>39</v>
      </c>
      <c r="F44" s="116">
        <v>45321.0</v>
      </c>
      <c r="G44" s="115">
        <v>1105.106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63</v>
      </c>
      <c r="B45" s="110">
        <f t="shared" si="1"/>
        <v>45282</v>
      </c>
      <c r="C45" s="1">
        <f t="shared" si="2"/>
        <v>1068.709</v>
      </c>
      <c r="D45" s="3">
        <f t="shared" si="4"/>
        <v>0.004372890149</v>
      </c>
      <c r="E45" s="1">
        <f t="shared" si="5"/>
        <v>40</v>
      </c>
      <c r="F45" s="116">
        <v>45320.0</v>
      </c>
      <c r="G45" s="115">
        <v>1109.327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62</v>
      </c>
      <c r="B46" s="110">
        <f t="shared" si="1"/>
        <v>45286</v>
      </c>
      <c r="C46" s="1">
        <f t="shared" si="2"/>
        <v>1077.109</v>
      </c>
      <c r="D46" s="3">
        <f t="shared" si="4"/>
        <v>0.007859950651</v>
      </c>
      <c r="E46" s="1">
        <f t="shared" si="5"/>
        <v>41</v>
      </c>
      <c r="F46" s="116">
        <v>45316.0</v>
      </c>
      <c r="G46" s="115">
        <v>1096.021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61</v>
      </c>
      <c r="B47" s="110">
        <f t="shared" si="1"/>
        <v>45287</v>
      </c>
      <c r="C47" s="1">
        <f t="shared" si="2"/>
        <v>1086.025</v>
      </c>
      <c r="D47" s="3">
        <f t="shared" si="4"/>
        <v>0.008277713769</v>
      </c>
      <c r="E47" s="1">
        <f t="shared" si="5"/>
        <v>42</v>
      </c>
      <c r="F47" s="116">
        <v>45315.0</v>
      </c>
      <c r="G47" s="115">
        <v>1104.519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60</v>
      </c>
      <c r="B48" s="110">
        <f t="shared" si="1"/>
        <v>45288</v>
      </c>
      <c r="C48" s="1">
        <f t="shared" si="2"/>
        <v>1094.653</v>
      </c>
      <c r="D48" s="3">
        <f t="shared" si="4"/>
        <v>0.007944568495</v>
      </c>
      <c r="E48" s="1">
        <f t="shared" si="5"/>
        <v>43</v>
      </c>
      <c r="F48" s="116">
        <v>45314.0</v>
      </c>
      <c r="G48" s="115">
        <v>1090.849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59</v>
      </c>
      <c r="B49" s="110">
        <f t="shared" si="1"/>
        <v>45289</v>
      </c>
      <c r="C49" s="1">
        <f t="shared" si="2"/>
        <v>1090.352</v>
      </c>
      <c r="D49" s="3">
        <f t="shared" si="4"/>
        <v>-0.003929098993</v>
      </c>
      <c r="E49" s="1">
        <f t="shared" si="5"/>
        <v>44</v>
      </c>
      <c r="F49" s="116">
        <v>45310.0</v>
      </c>
      <c r="G49" s="115">
        <v>1104.31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58</v>
      </c>
      <c r="B50" s="110">
        <f t="shared" si="1"/>
        <v>45292</v>
      </c>
      <c r="C50" s="1">
        <f t="shared" si="2"/>
        <v>1090.107</v>
      </c>
      <c r="D50" s="3">
        <f t="shared" si="4"/>
        <v>-0.0002246980792</v>
      </c>
      <c r="E50" s="1">
        <f t="shared" si="5"/>
        <v>45</v>
      </c>
      <c r="F50" s="116">
        <v>45309.0</v>
      </c>
      <c r="G50" s="115">
        <v>1093.351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57</v>
      </c>
      <c r="B51" s="110">
        <f t="shared" si="1"/>
        <v>45293</v>
      </c>
      <c r="C51" s="1">
        <f t="shared" si="2"/>
        <v>1086.159</v>
      </c>
      <c r="D51" s="3">
        <f t="shared" si="4"/>
        <v>-0.003621662828</v>
      </c>
      <c r="E51" s="1">
        <f t="shared" si="5"/>
        <v>46</v>
      </c>
      <c r="F51" s="116">
        <v>45308.0</v>
      </c>
      <c r="G51" s="115">
        <v>1095.612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56</v>
      </c>
      <c r="B52" s="110">
        <f t="shared" si="1"/>
        <v>45294</v>
      </c>
      <c r="C52" s="1">
        <f t="shared" si="2"/>
        <v>1088.151</v>
      </c>
      <c r="D52" s="3">
        <f t="shared" si="4"/>
        <v>0.001833985632</v>
      </c>
      <c r="E52" s="1">
        <f t="shared" si="5"/>
        <v>47</v>
      </c>
      <c r="F52" s="116">
        <v>45307.0</v>
      </c>
      <c r="G52" s="115">
        <v>1114.232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55</v>
      </c>
      <c r="B53" s="110">
        <f t="shared" si="1"/>
        <v>45295</v>
      </c>
      <c r="C53" s="1">
        <f t="shared" si="2"/>
        <v>1096.786</v>
      </c>
      <c r="D53" s="3">
        <f t="shared" si="4"/>
        <v>0.007935479543</v>
      </c>
      <c r="E53" s="1">
        <f t="shared" si="5"/>
        <v>48</v>
      </c>
      <c r="F53" s="116">
        <v>45306.0</v>
      </c>
      <c r="G53" s="115">
        <v>1120.236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54</v>
      </c>
      <c r="B54" s="110">
        <f t="shared" si="1"/>
        <v>45296</v>
      </c>
      <c r="C54" s="1">
        <f t="shared" si="2"/>
        <v>1100.094</v>
      </c>
      <c r="D54" s="3">
        <f t="shared" si="4"/>
        <v>0.00301608518</v>
      </c>
      <c r="E54" s="1">
        <f t="shared" si="5"/>
        <v>49</v>
      </c>
      <c r="F54" s="116">
        <v>45303.0</v>
      </c>
      <c r="G54" s="115">
        <v>1108.834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53</v>
      </c>
      <c r="B55" s="110">
        <f t="shared" si="1"/>
        <v>45299</v>
      </c>
      <c r="C55" s="1">
        <f t="shared" si="2"/>
        <v>1092.451</v>
      </c>
      <c r="D55" s="3">
        <f t="shared" si="4"/>
        <v>-0.006947588115</v>
      </c>
      <c r="E55" s="1">
        <f t="shared" si="5"/>
        <v>50</v>
      </c>
      <c r="F55" s="116">
        <v>45302.0</v>
      </c>
      <c r="G55" s="115">
        <v>1100.176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52</v>
      </c>
      <c r="B56" s="110">
        <f t="shared" si="1"/>
        <v>45300</v>
      </c>
      <c r="C56" s="1">
        <f t="shared" si="2"/>
        <v>1097.109</v>
      </c>
      <c r="D56" s="3">
        <f t="shared" si="4"/>
        <v>0.004263806798</v>
      </c>
      <c r="E56" s="1">
        <f t="shared" si="5"/>
        <v>51</v>
      </c>
      <c r="F56" s="116">
        <v>45301.0</v>
      </c>
      <c r="G56" s="115">
        <v>1100.254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51</v>
      </c>
      <c r="B57" s="110">
        <f t="shared" si="1"/>
        <v>45301</v>
      </c>
      <c r="C57" s="1">
        <f t="shared" si="2"/>
        <v>1100.254</v>
      </c>
      <c r="D57" s="3">
        <f t="shared" si="4"/>
        <v>0.002866624921</v>
      </c>
      <c r="E57" s="1">
        <f t="shared" si="5"/>
        <v>52</v>
      </c>
      <c r="F57" s="116">
        <v>45300.0</v>
      </c>
      <c r="G57" s="115">
        <v>1097.109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50</v>
      </c>
      <c r="B58" s="110">
        <f t="shared" si="1"/>
        <v>45302</v>
      </c>
      <c r="C58" s="1">
        <f t="shared" si="2"/>
        <v>1100.176</v>
      </c>
      <c r="D58" s="3">
        <f t="shared" si="4"/>
        <v>-0.00007089272114</v>
      </c>
      <c r="E58" s="1">
        <f t="shared" si="5"/>
        <v>53</v>
      </c>
      <c r="F58" s="116">
        <v>45299.0</v>
      </c>
      <c r="G58" s="115">
        <v>1092.451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49</v>
      </c>
      <c r="B59" s="110">
        <f t="shared" si="1"/>
        <v>45303</v>
      </c>
      <c r="C59" s="1">
        <f t="shared" si="2"/>
        <v>1108.834</v>
      </c>
      <c r="D59" s="3">
        <f t="shared" si="4"/>
        <v>0.007869649947</v>
      </c>
      <c r="E59" s="1">
        <f t="shared" si="5"/>
        <v>54</v>
      </c>
      <c r="F59" s="116">
        <v>45296.0</v>
      </c>
      <c r="G59" s="115">
        <v>1100.094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48</v>
      </c>
      <c r="B60" s="110">
        <f t="shared" si="1"/>
        <v>45306</v>
      </c>
      <c r="C60" s="1">
        <f t="shared" si="2"/>
        <v>1120.236</v>
      </c>
      <c r="D60" s="3">
        <f t="shared" si="4"/>
        <v>0.01028287372</v>
      </c>
      <c r="E60" s="1">
        <f t="shared" si="5"/>
        <v>55</v>
      </c>
      <c r="F60" s="116">
        <v>45295.0</v>
      </c>
      <c r="G60" s="115">
        <v>1096.786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47</v>
      </c>
      <c r="B61" s="110">
        <f t="shared" si="1"/>
        <v>45307</v>
      </c>
      <c r="C61" s="1">
        <f t="shared" si="2"/>
        <v>1114.232</v>
      </c>
      <c r="D61" s="3">
        <f t="shared" si="4"/>
        <v>-0.005359584945</v>
      </c>
      <c r="E61" s="1">
        <f t="shared" si="5"/>
        <v>56</v>
      </c>
      <c r="F61" s="116">
        <v>45294.0</v>
      </c>
      <c r="G61" s="115">
        <v>1088.151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46</v>
      </c>
      <c r="B62" s="110">
        <f t="shared" si="1"/>
        <v>45308</v>
      </c>
      <c r="C62" s="1">
        <f t="shared" si="2"/>
        <v>1095.612</v>
      </c>
      <c r="D62" s="3">
        <f t="shared" si="4"/>
        <v>-0.01671106197</v>
      </c>
      <c r="E62" s="1">
        <f t="shared" si="5"/>
        <v>57</v>
      </c>
      <c r="F62" s="116">
        <v>45293.0</v>
      </c>
      <c r="G62" s="115">
        <v>1086.159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45</v>
      </c>
      <c r="B63" s="110">
        <f t="shared" si="1"/>
        <v>45309</v>
      </c>
      <c r="C63" s="1">
        <f t="shared" si="2"/>
        <v>1093.351</v>
      </c>
      <c r="D63" s="3">
        <f t="shared" si="4"/>
        <v>-0.00206368678</v>
      </c>
      <c r="E63" s="1">
        <f t="shared" si="5"/>
        <v>58</v>
      </c>
      <c r="F63" s="116">
        <v>45292.0</v>
      </c>
      <c r="G63" s="115">
        <v>1090.107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44</v>
      </c>
      <c r="B64" s="110">
        <f t="shared" si="1"/>
        <v>45310</v>
      </c>
      <c r="C64" s="1">
        <f t="shared" si="2"/>
        <v>1104.31</v>
      </c>
      <c r="D64" s="3">
        <f t="shared" si="4"/>
        <v>0.01002331365</v>
      </c>
      <c r="E64" s="1">
        <f t="shared" si="5"/>
        <v>59</v>
      </c>
      <c r="F64" s="116">
        <v>45289.0</v>
      </c>
      <c r="G64" s="115">
        <v>1090.352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43</v>
      </c>
      <c r="B65" s="110">
        <f t="shared" si="1"/>
        <v>45314</v>
      </c>
      <c r="C65" s="1">
        <f t="shared" si="2"/>
        <v>1090.849</v>
      </c>
      <c r="D65" s="3">
        <f t="shared" si="4"/>
        <v>-0.012189512</v>
      </c>
      <c r="E65" s="1">
        <f t="shared" si="5"/>
        <v>60</v>
      </c>
      <c r="F65" s="116">
        <v>45288.0</v>
      </c>
      <c r="G65" s="115">
        <v>1094.653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42</v>
      </c>
      <c r="B66" s="110">
        <f t="shared" si="1"/>
        <v>45315</v>
      </c>
      <c r="C66" s="1">
        <f t="shared" si="2"/>
        <v>1104.519</v>
      </c>
      <c r="D66" s="3">
        <f t="shared" si="4"/>
        <v>0.01253152361</v>
      </c>
      <c r="E66" s="1">
        <f t="shared" si="5"/>
        <v>61</v>
      </c>
      <c r="F66" s="116">
        <v>45287.0</v>
      </c>
      <c r="G66" s="115">
        <v>1086.025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41</v>
      </c>
      <c r="B67" s="110">
        <f t="shared" si="1"/>
        <v>45316</v>
      </c>
      <c r="C67" s="1">
        <f t="shared" si="2"/>
        <v>1096.021</v>
      </c>
      <c r="D67" s="3">
        <f t="shared" si="4"/>
        <v>-0.007693846824</v>
      </c>
      <c r="E67" s="1">
        <f t="shared" si="5"/>
        <v>62</v>
      </c>
      <c r="F67" s="116">
        <v>45286.0</v>
      </c>
      <c r="G67" s="115">
        <v>1077.109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40</v>
      </c>
      <c r="B68" s="110">
        <f t="shared" si="1"/>
        <v>45320</v>
      </c>
      <c r="C68" s="1">
        <f t="shared" si="2"/>
        <v>1109.327</v>
      </c>
      <c r="D68" s="3">
        <f t="shared" si="4"/>
        <v>0.01214027833</v>
      </c>
      <c r="E68" s="1">
        <f t="shared" si="5"/>
        <v>63</v>
      </c>
      <c r="F68" s="116">
        <v>45282.0</v>
      </c>
      <c r="G68" s="115">
        <v>1068.709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39</v>
      </c>
      <c r="B69" s="110">
        <f t="shared" si="1"/>
        <v>45321</v>
      </c>
      <c r="C69" s="1">
        <f t="shared" si="2"/>
        <v>1105.106</v>
      </c>
      <c r="D69" s="3">
        <f t="shared" si="4"/>
        <v>-0.003805009704</v>
      </c>
      <c r="E69" s="1">
        <f t="shared" si="5"/>
        <v>64</v>
      </c>
      <c r="F69" s="116">
        <v>45281.0</v>
      </c>
      <c r="G69" s="115">
        <v>1064.056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38</v>
      </c>
      <c r="B70" s="110">
        <f t="shared" si="1"/>
        <v>45322</v>
      </c>
      <c r="C70" s="1">
        <f t="shared" si="2"/>
        <v>1118.071</v>
      </c>
      <c r="D70" s="3">
        <f t="shared" si="4"/>
        <v>0.01173190626</v>
      </c>
      <c r="E70" s="1">
        <f t="shared" si="5"/>
        <v>65</v>
      </c>
      <c r="F70" s="116">
        <v>45280.0</v>
      </c>
      <c r="G70" s="115">
        <v>1061.055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37</v>
      </c>
      <c r="B71" s="110">
        <f t="shared" si="1"/>
        <v>45323</v>
      </c>
      <c r="C71" s="1">
        <f t="shared" si="2"/>
        <v>1121.224</v>
      </c>
      <c r="D71" s="3">
        <f t="shared" si="4"/>
        <v>0.002820035579</v>
      </c>
      <c r="E71" s="1">
        <f t="shared" si="5"/>
        <v>66</v>
      </c>
      <c r="F71" s="116">
        <v>45279.0</v>
      </c>
      <c r="G71" s="115">
        <v>1080.174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36</v>
      </c>
      <c r="B72" s="110">
        <f t="shared" si="1"/>
        <v>45324</v>
      </c>
      <c r="C72" s="1">
        <f t="shared" si="2"/>
        <v>1123.981</v>
      </c>
      <c r="D72" s="3">
        <f t="shared" si="4"/>
        <v>0.002458919895</v>
      </c>
      <c r="E72" s="1">
        <f t="shared" si="5"/>
        <v>67</v>
      </c>
      <c r="F72" s="116">
        <v>45278.0</v>
      </c>
      <c r="G72" s="115">
        <v>1080.283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35</v>
      </c>
      <c r="B73" s="110">
        <f t="shared" si="1"/>
        <v>45327</v>
      </c>
      <c r="C73" s="1">
        <f t="shared" si="2"/>
        <v>1121.257</v>
      </c>
      <c r="D73" s="3">
        <f t="shared" si="4"/>
        <v>-0.002423528512</v>
      </c>
      <c r="E73" s="1">
        <f t="shared" si="5"/>
        <v>68</v>
      </c>
      <c r="F73" s="116">
        <v>45275.0</v>
      </c>
      <c r="G73" s="115">
        <v>1080.579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34</v>
      </c>
      <c r="B74" s="110">
        <f t="shared" si="1"/>
        <v>45328</v>
      </c>
      <c r="C74" s="1">
        <f t="shared" si="2"/>
        <v>1130.075</v>
      </c>
      <c r="D74" s="3">
        <f t="shared" si="4"/>
        <v>0.007864387915</v>
      </c>
      <c r="E74" s="1">
        <f t="shared" si="5"/>
        <v>69</v>
      </c>
      <c r="F74" s="116">
        <v>45274.0</v>
      </c>
      <c r="G74" s="115">
        <v>1071.315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33</v>
      </c>
      <c r="B75" s="110">
        <f t="shared" si="1"/>
        <v>45329</v>
      </c>
      <c r="C75" s="1">
        <f t="shared" si="2"/>
        <v>1130.476</v>
      </c>
      <c r="D75" s="3">
        <f t="shared" si="4"/>
        <v>0.0003548437051</v>
      </c>
      <c r="E75" s="1">
        <f t="shared" si="5"/>
        <v>70</v>
      </c>
      <c r="F75" s="116">
        <v>45273.0</v>
      </c>
      <c r="G75" s="115">
        <v>1060.978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32</v>
      </c>
      <c r="B76" s="110">
        <f t="shared" si="1"/>
        <v>45330</v>
      </c>
      <c r="C76" s="1">
        <f t="shared" si="2"/>
        <v>1127.594</v>
      </c>
      <c r="D76" s="3">
        <f t="shared" si="4"/>
        <v>-0.002549368585</v>
      </c>
      <c r="E76" s="1">
        <f t="shared" si="5"/>
        <v>71</v>
      </c>
      <c r="F76" s="116">
        <v>45272.0</v>
      </c>
      <c r="G76" s="115">
        <v>1054.647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31</v>
      </c>
      <c r="B77" s="110">
        <f t="shared" si="1"/>
        <v>45331</v>
      </c>
      <c r="C77" s="1">
        <f t="shared" si="2"/>
        <v>1127.816</v>
      </c>
      <c r="D77" s="3">
        <f t="shared" si="4"/>
        <v>0.0001968793732</v>
      </c>
      <c r="E77" s="1">
        <f t="shared" si="5"/>
        <v>72</v>
      </c>
      <c r="F77" s="116">
        <v>45271.0</v>
      </c>
      <c r="G77" s="115">
        <v>1061.141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30</v>
      </c>
      <c r="B78" s="110">
        <f t="shared" si="1"/>
        <v>45334</v>
      </c>
      <c r="C78" s="1">
        <f t="shared" si="2"/>
        <v>1119.843</v>
      </c>
      <c r="D78" s="3">
        <f t="shared" si="4"/>
        <v>-0.007069415578</v>
      </c>
      <c r="E78" s="1">
        <f t="shared" si="5"/>
        <v>73</v>
      </c>
      <c r="F78" s="116">
        <v>45268.0</v>
      </c>
      <c r="G78" s="115">
        <v>1060.858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29</v>
      </c>
      <c r="B79" s="110">
        <f t="shared" si="1"/>
        <v>45335</v>
      </c>
      <c r="C79" s="1">
        <f t="shared" si="2"/>
        <v>1130.119</v>
      </c>
      <c r="D79" s="3">
        <f t="shared" si="4"/>
        <v>0.009176286319</v>
      </c>
      <c r="E79" s="1">
        <f t="shared" si="5"/>
        <v>74</v>
      </c>
      <c r="F79" s="116">
        <v>45267.0</v>
      </c>
      <c r="G79" s="115">
        <v>1053.614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28</v>
      </c>
      <c r="B80" s="110">
        <f t="shared" si="1"/>
        <v>45336</v>
      </c>
      <c r="C80" s="1">
        <f t="shared" si="2"/>
        <v>1134.474</v>
      </c>
      <c r="D80" s="3">
        <f t="shared" si="4"/>
        <v>0.003853576482</v>
      </c>
      <c r="E80" s="1">
        <f t="shared" si="5"/>
        <v>75</v>
      </c>
      <c r="F80" s="116">
        <v>45266.0</v>
      </c>
      <c r="G80" s="115">
        <v>1051.864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27</v>
      </c>
      <c r="B81" s="110">
        <f t="shared" si="1"/>
        <v>45337</v>
      </c>
      <c r="C81" s="1">
        <f t="shared" si="2"/>
        <v>1143.209</v>
      </c>
      <c r="D81" s="3">
        <f t="shared" si="4"/>
        <v>0.007699603517</v>
      </c>
      <c r="E81" s="1">
        <f t="shared" si="5"/>
        <v>76</v>
      </c>
      <c r="F81" s="116">
        <v>45265.0</v>
      </c>
      <c r="G81" s="115">
        <v>1050.63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26</v>
      </c>
      <c r="B82" s="110">
        <f t="shared" si="1"/>
        <v>45338</v>
      </c>
      <c r="C82" s="1">
        <f t="shared" si="2"/>
        <v>1151.714</v>
      </c>
      <c r="D82" s="3">
        <f t="shared" si="4"/>
        <v>0.007439584538</v>
      </c>
      <c r="E82" s="1">
        <f t="shared" si="5"/>
        <v>77</v>
      </c>
      <c r="F82" s="116">
        <v>45264.0</v>
      </c>
      <c r="G82" s="115">
        <v>1043.351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25</v>
      </c>
      <c r="B83" s="110">
        <f t="shared" si="1"/>
        <v>45341</v>
      </c>
      <c r="C83" s="1">
        <f t="shared" si="2"/>
        <v>1155.315</v>
      </c>
      <c r="D83" s="3">
        <f t="shared" si="4"/>
        <v>0.003126644288</v>
      </c>
      <c r="E83" s="1">
        <f t="shared" si="5"/>
        <v>78</v>
      </c>
      <c r="F83" s="116">
        <v>45261.0</v>
      </c>
      <c r="G83" s="115">
        <v>1020.696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24</v>
      </c>
      <c r="B84" s="110">
        <f t="shared" si="1"/>
        <v>45342</v>
      </c>
      <c r="C84" s="1">
        <f t="shared" si="2"/>
        <v>1162.321</v>
      </c>
      <c r="D84" s="3">
        <f t="shared" si="4"/>
        <v>0.006064147008</v>
      </c>
      <c r="E84" s="1">
        <f t="shared" si="5"/>
        <v>79</v>
      </c>
      <c r="F84" s="116">
        <v>45260.0</v>
      </c>
      <c r="G84" s="115">
        <v>1013.107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23</v>
      </c>
      <c r="B85" s="110">
        <f t="shared" si="1"/>
        <v>45343</v>
      </c>
      <c r="C85" s="1">
        <f t="shared" si="2"/>
        <v>1155.588</v>
      </c>
      <c r="D85" s="3">
        <f t="shared" si="4"/>
        <v>-0.005792719911</v>
      </c>
      <c r="E85" s="1">
        <f t="shared" si="5"/>
        <v>80</v>
      </c>
      <c r="F85" s="116">
        <v>45259.0</v>
      </c>
      <c r="G85" s="115">
        <v>1005.203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22</v>
      </c>
      <c r="B86" s="110">
        <f t="shared" si="1"/>
        <v>45344</v>
      </c>
      <c r="C86" s="1">
        <f t="shared" si="2"/>
        <v>1162.909</v>
      </c>
      <c r="D86" s="3">
        <f t="shared" si="4"/>
        <v>0.006335302893</v>
      </c>
      <c r="E86" s="1">
        <f t="shared" si="5"/>
        <v>81</v>
      </c>
      <c r="F86" s="116">
        <v>45258.0</v>
      </c>
      <c r="G86" s="115">
        <v>994.403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21</v>
      </c>
      <c r="B87" s="110">
        <f t="shared" si="1"/>
        <v>45345</v>
      </c>
      <c r="C87" s="1">
        <f t="shared" si="2"/>
        <v>1162.44</v>
      </c>
      <c r="D87" s="3">
        <f t="shared" si="4"/>
        <v>-0.0004032989684</v>
      </c>
      <c r="E87" s="1">
        <f t="shared" si="5"/>
        <v>82</v>
      </c>
      <c r="F87" s="116">
        <v>45254.0</v>
      </c>
      <c r="G87" s="115">
        <v>988.919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20</v>
      </c>
      <c r="B88" s="110">
        <f t="shared" si="1"/>
        <v>45348</v>
      </c>
      <c r="C88" s="1">
        <f t="shared" si="2"/>
        <v>1158.348</v>
      </c>
      <c r="D88" s="3">
        <f t="shared" si="4"/>
        <v>-0.003520181687</v>
      </c>
      <c r="E88" s="1">
        <f t="shared" si="5"/>
        <v>83</v>
      </c>
      <c r="F88" s="116">
        <v>45253.0</v>
      </c>
      <c r="G88" s="115">
        <v>984.257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19</v>
      </c>
      <c r="B89" s="110">
        <f t="shared" si="1"/>
        <v>45349</v>
      </c>
      <c r="C89" s="1">
        <f t="shared" si="2"/>
        <v>1161.762</v>
      </c>
      <c r="D89" s="3">
        <f t="shared" si="4"/>
        <v>0.002947300811</v>
      </c>
      <c r="E89" s="1">
        <f t="shared" si="5"/>
        <v>84</v>
      </c>
      <c r="F89" s="116">
        <v>45252.0</v>
      </c>
      <c r="G89" s="115">
        <v>986.219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18</v>
      </c>
      <c r="B90" s="110">
        <f t="shared" si="1"/>
        <v>45350</v>
      </c>
      <c r="C90" s="1">
        <f t="shared" si="2"/>
        <v>1150.161</v>
      </c>
      <c r="D90" s="3">
        <f t="shared" si="4"/>
        <v>-0.009985694144</v>
      </c>
      <c r="E90" s="1">
        <f t="shared" si="5"/>
        <v>85</v>
      </c>
      <c r="F90" s="116">
        <v>45251.0</v>
      </c>
      <c r="G90" s="115">
        <v>984.626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17</v>
      </c>
      <c r="B91" s="110">
        <f t="shared" si="1"/>
        <v>45351</v>
      </c>
      <c r="C91" s="1">
        <f t="shared" si="2"/>
        <v>1149.356</v>
      </c>
      <c r="D91" s="3">
        <f t="shared" si="4"/>
        <v>-0.0006999020137</v>
      </c>
      <c r="E91" s="1">
        <f t="shared" si="5"/>
        <v>86</v>
      </c>
      <c r="F91" s="116">
        <v>45250.0</v>
      </c>
      <c r="G91" s="115">
        <v>981.296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16</v>
      </c>
      <c r="B92" s="110">
        <f t="shared" si="1"/>
        <v>45352</v>
      </c>
      <c r="C92" s="1">
        <f t="shared" si="2"/>
        <v>1162.848</v>
      </c>
      <c r="D92" s="3">
        <f t="shared" si="4"/>
        <v>0.01173874761</v>
      </c>
      <c r="E92" s="1">
        <f t="shared" si="5"/>
        <v>87</v>
      </c>
      <c r="F92" s="116">
        <v>45247.0</v>
      </c>
      <c r="G92" s="115">
        <v>980.462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15</v>
      </c>
      <c r="B93" s="110">
        <f t="shared" si="1"/>
        <v>45355</v>
      </c>
      <c r="C93" s="1">
        <f t="shared" si="2"/>
        <v>1166.891</v>
      </c>
      <c r="D93" s="3">
        <f t="shared" si="4"/>
        <v>0.003476808663</v>
      </c>
      <c r="E93" s="1">
        <f t="shared" si="5"/>
        <v>88</v>
      </c>
      <c r="F93" s="116">
        <v>45246.0</v>
      </c>
      <c r="G93" s="115">
        <v>983.719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14</v>
      </c>
      <c r="B94" s="110">
        <f t="shared" si="1"/>
        <v>45356</v>
      </c>
      <c r="C94" s="1">
        <f t="shared" si="2"/>
        <v>1168.75</v>
      </c>
      <c r="D94" s="3">
        <f t="shared" si="4"/>
        <v>0.001593122237</v>
      </c>
      <c r="E94" s="1">
        <f t="shared" si="5"/>
        <v>89</v>
      </c>
      <c r="F94" s="116">
        <v>45245.0</v>
      </c>
      <c r="G94" s="115">
        <v>975.247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13</v>
      </c>
      <c r="B95" s="110">
        <f t="shared" si="1"/>
        <v>45357</v>
      </c>
      <c r="C95" s="1">
        <f t="shared" si="2"/>
        <v>1175.482</v>
      </c>
      <c r="D95" s="3">
        <f t="shared" si="4"/>
        <v>0.00576</v>
      </c>
      <c r="E95" s="1">
        <f t="shared" si="5"/>
        <v>90</v>
      </c>
      <c r="F95" s="116">
        <v>45243.0</v>
      </c>
      <c r="G95" s="115">
        <v>964.609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12</v>
      </c>
      <c r="B96" s="110">
        <f t="shared" si="1"/>
        <v>45358</v>
      </c>
      <c r="C96" s="1">
        <f t="shared" si="2"/>
        <v>1176.079</v>
      </c>
      <c r="D96" s="3">
        <f t="shared" si="4"/>
        <v>0.0005078767688</v>
      </c>
      <c r="E96" s="1">
        <f t="shared" si="5"/>
        <v>91</v>
      </c>
      <c r="F96" s="116">
        <v>45240.0</v>
      </c>
      <c r="G96" s="115">
        <v>965.671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11</v>
      </c>
      <c r="B97" s="110">
        <f t="shared" si="1"/>
        <v>45362</v>
      </c>
      <c r="C97" s="1">
        <f t="shared" si="2"/>
        <v>1172.41</v>
      </c>
      <c r="D97" s="3">
        <f t="shared" si="4"/>
        <v>-0.003119688388</v>
      </c>
      <c r="E97" s="1">
        <f t="shared" si="5"/>
        <v>92</v>
      </c>
      <c r="F97" s="116">
        <v>45239.0</v>
      </c>
      <c r="G97" s="115">
        <v>962.936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10</v>
      </c>
      <c r="B98" s="110">
        <f t="shared" si="1"/>
        <v>45363</v>
      </c>
      <c r="C98" s="1">
        <f t="shared" si="2"/>
        <v>1166.135</v>
      </c>
      <c r="D98" s="3">
        <f t="shared" si="4"/>
        <v>-0.005352223198</v>
      </c>
      <c r="E98" s="1">
        <f t="shared" si="5"/>
        <v>93</v>
      </c>
      <c r="F98" s="116">
        <v>45238.0</v>
      </c>
      <c r="G98" s="115">
        <v>960.929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9</v>
      </c>
      <c r="B99" s="110">
        <f t="shared" si="1"/>
        <v>45364</v>
      </c>
      <c r="C99" s="1">
        <f t="shared" si="2"/>
        <v>1145.583</v>
      </c>
      <c r="D99" s="3">
        <f t="shared" si="4"/>
        <v>-0.01762403152</v>
      </c>
      <c r="E99" s="1">
        <f t="shared" si="5"/>
        <v>94</v>
      </c>
      <c r="F99" s="116">
        <v>45237.0</v>
      </c>
      <c r="G99" s="115">
        <v>958.162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8</v>
      </c>
      <c r="B100" s="110">
        <f t="shared" si="1"/>
        <v>45365</v>
      </c>
      <c r="C100" s="1">
        <f t="shared" si="2"/>
        <v>1152.443</v>
      </c>
      <c r="D100" s="3">
        <f t="shared" si="4"/>
        <v>0.005988217353</v>
      </c>
      <c r="E100" s="1">
        <f t="shared" si="5"/>
        <v>95</v>
      </c>
      <c r="F100" s="116">
        <v>45236.0</v>
      </c>
      <c r="G100" s="115">
        <v>953.557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7</v>
      </c>
      <c r="B101" s="110">
        <f t="shared" si="1"/>
        <v>45366</v>
      </c>
      <c r="C101" s="1">
        <f t="shared" si="2"/>
        <v>1144.849</v>
      </c>
      <c r="D101" s="3">
        <f t="shared" si="4"/>
        <v>-0.006589479914</v>
      </c>
      <c r="E101" s="1">
        <f t="shared" si="5"/>
        <v>96</v>
      </c>
      <c r="F101" s="116">
        <v>45233.0</v>
      </c>
      <c r="G101" s="115">
        <v>946.677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6</v>
      </c>
      <c r="B102" s="110">
        <f t="shared" si="1"/>
        <v>45369</v>
      </c>
      <c r="C102" s="1">
        <f t="shared" si="2"/>
        <v>1147.039</v>
      </c>
      <c r="D102" s="3">
        <f t="shared" si="4"/>
        <v>0.001912916026</v>
      </c>
      <c r="E102" s="1">
        <f t="shared" si="5"/>
        <v>97</v>
      </c>
      <c r="F102" s="116">
        <v>45232.0</v>
      </c>
      <c r="G102" s="115">
        <v>938.616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5</v>
      </c>
      <c r="B103" s="110">
        <f t="shared" si="1"/>
        <v>45370</v>
      </c>
      <c r="C103" s="1">
        <f t="shared" si="2"/>
        <v>1135.71</v>
      </c>
      <c r="D103" s="3">
        <f t="shared" si="4"/>
        <v>-0.009876734793</v>
      </c>
      <c r="E103" s="1">
        <f t="shared" si="5"/>
        <v>98</v>
      </c>
      <c r="F103" s="116">
        <v>45231.0</v>
      </c>
      <c r="G103" s="115">
        <v>931.494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4</v>
      </c>
      <c r="B104" s="110">
        <f t="shared" si="1"/>
        <v>45371</v>
      </c>
      <c r="C104" s="1">
        <f t="shared" si="2"/>
        <v>1134.773</v>
      </c>
      <c r="D104" s="3">
        <f t="shared" si="4"/>
        <v>-0.0008250345599</v>
      </c>
      <c r="E104" s="1">
        <f t="shared" si="5"/>
        <v>99</v>
      </c>
      <c r="F104" s="116">
        <v>45230.0</v>
      </c>
      <c r="G104" s="115">
        <v>935.538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3</v>
      </c>
      <c r="B105" s="110">
        <f t="shared" si="1"/>
        <v>45372</v>
      </c>
      <c r="C105" s="1">
        <f t="shared" si="2"/>
        <v>1145.283</v>
      </c>
      <c r="D105" s="3">
        <f t="shared" si="4"/>
        <v>0.009261764247</v>
      </c>
      <c r="E105" s="1">
        <f t="shared" si="5"/>
        <v>100</v>
      </c>
      <c r="F105" s="116">
        <v>45229.0</v>
      </c>
      <c r="G105" s="115">
        <v>937.419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3"/>
        <v>2</v>
      </c>
      <c r="B106" s="110">
        <f t="shared" si="1"/>
        <v>45373</v>
      </c>
      <c r="C106" s="1">
        <f t="shared" si="2"/>
        <v>1152.615</v>
      </c>
      <c r="D106" s="3">
        <f t="shared" si="4"/>
        <v>0.006401911143</v>
      </c>
      <c r="E106" s="1">
        <f t="shared" si="5"/>
        <v>101</v>
      </c>
      <c r="F106" s="110">
        <v>45226.0</v>
      </c>
      <c r="G106" s="1">
        <v>934.799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 t="shared" si="3"/>
        <v>1</v>
      </c>
      <c r="B107" s="110">
        <f t="shared" si="1"/>
        <v>45377</v>
      </c>
      <c r="C107" s="1">
        <f t="shared" si="2"/>
        <v>1150.794</v>
      </c>
      <c r="D107" s="3">
        <f t="shared" si="4"/>
        <v>-0.001579885738</v>
      </c>
      <c r="E107" s="1">
        <f t="shared" si="5"/>
        <v>102</v>
      </c>
      <c r="F107" s="110">
        <v>45225.0</v>
      </c>
      <c r="G107" s="1">
        <v>924.624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78"/>
    <col customWidth="1" hidden="1" min="5" max="12" width="10.56"/>
    <col customWidth="1" min="13" max="13" width="10.78"/>
    <col customWidth="1" min="14" max="14" width="21.44"/>
    <col customWidth="1" min="15" max="26" width="10.56"/>
  </cols>
  <sheetData>
    <row r="1" ht="15.75" customHeight="1">
      <c r="A1" s="1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61</v>
      </c>
      <c r="C5" s="1" t="s">
        <v>62</v>
      </c>
      <c r="D5" s="3" t="s">
        <v>51</v>
      </c>
      <c r="E5" s="1"/>
      <c r="F5" s="100" t="s">
        <v>59</v>
      </c>
      <c r="G5" s="100" t="s">
        <v>171</v>
      </c>
      <c r="H5" s="100" t="s">
        <v>187</v>
      </c>
      <c r="I5" s="100" t="s">
        <v>188</v>
      </c>
      <c r="J5" s="100" t="s">
        <v>189</v>
      </c>
      <c r="K5" s="100" t="s">
        <v>190</v>
      </c>
      <c r="L5" s="100" t="s">
        <v>172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109.0</v>
      </c>
      <c r="B6" s="1" t="str">
        <f t="shared" ref="B6:B114" si="1">VLOOKUP(A6,$E$6:$G$114,2)</f>
        <v>Oct 26, 2023</v>
      </c>
      <c r="C6" s="1">
        <f t="shared" ref="C6:C114" si="2">VLOOKUP(A6,$E$6:$G$114,3)</f>
        <v>2.26</v>
      </c>
      <c r="D6" s="3"/>
      <c r="E6" s="1">
        <v>1.0</v>
      </c>
      <c r="F6" s="104" t="s">
        <v>63</v>
      </c>
      <c r="G6" s="117">
        <v>2.66</v>
      </c>
      <c r="H6" s="104">
        <v>2.71</v>
      </c>
      <c r="I6" s="104">
        <v>2.71</v>
      </c>
      <c r="J6" s="104">
        <v>2.66</v>
      </c>
      <c r="K6" s="104">
        <v>0.0</v>
      </c>
      <c r="L6" s="108">
        <v>-0.0185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ref="A7:A114" si="3">A6-1</f>
        <v>108</v>
      </c>
      <c r="B7" s="1" t="str">
        <f t="shared" si="1"/>
        <v>Oct 27, 2023</v>
      </c>
      <c r="C7" s="1">
        <f t="shared" si="2"/>
        <v>2.23</v>
      </c>
      <c r="D7" s="3">
        <f t="shared" ref="D7:D114" si="4">C7/C6-1</f>
        <v>-0.01327433628</v>
      </c>
      <c r="E7" s="1">
        <f t="shared" ref="E7:E114" si="5">1+E6</f>
        <v>2</v>
      </c>
      <c r="F7" s="104" t="s">
        <v>173</v>
      </c>
      <c r="G7" s="118">
        <v>2.71</v>
      </c>
      <c r="H7" s="104">
        <v>2.69</v>
      </c>
      <c r="I7" s="104">
        <v>2.72</v>
      </c>
      <c r="J7" s="104">
        <v>2.69</v>
      </c>
      <c r="K7" s="104">
        <v>0.0</v>
      </c>
      <c r="L7" s="106">
        <v>0.0074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107</v>
      </c>
      <c r="B8" s="1" t="str">
        <f t="shared" si="1"/>
        <v>Oct 30, 2023</v>
      </c>
      <c r="C8" s="1">
        <f t="shared" si="2"/>
        <v>2.25</v>
      </c>
      <c r="D8" s="3">
        <f t="shared" si="4"/>
        <v>0.008968609865</v>
      </c>
      <c r="E8" s="1">
        <f t="shared" si="5"/>
        <v>3</v>
      </c>
      <c r="F8" s="104" t="s">
        <v>65</v>
      </c>
      <c r="G8" s="117">
        <v>2.69</v>
      </c>
      <c r="H8" s="104">
        <v>2.72</v>
      </c>
      <c r="I8" s="104">
        <v>2.72</v>
      </c>
      <c r="J8" s="104">
        <v>2.69</v>
      </c>
      <c r="K8" s="104">
        <v>0.0</v>
      </c>
      <c r="L8" s="108">
        <v>-0.011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106</v>
      </c>
      <c r="B9" s="1" t="str">
        <f t="shared" si="1"/>
        <v>Oct 31, 2023</v>
      </c>
      <c r="C9" s="1">
        <f t="shared" si="2"/>
        <v>2.31</v>
      </c>
      <c r="D9" s="3">
        <f t="shared" si="4"/>
        <v>0.02666666667</v>
      </c>
      <c r="E9" s="1">
        <f t="shared" si="5"/>
        <v>4</v>
      </c>
      <c r="F9" s="104" t="s">
        <v>66</v>
      </c>
      <c r="G9" s="118">
        <v>2.72</v>
      </c>
      <c r="H9" s="104">
        <v>2.69</v>
      </c>
      <c r="I9" s="104">
        <v>2.73</v>
      </c>
      <c r="J9" s="104">
        <v>2.69</v>
      </c>
      <c r="K9" s="104">
        <v>0.0</v>
      </c>
      <c r="L9" s="106">
        <v>0.0112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105</v>
      </c>
      <c r="B10" s="1" t="str">
        <f t="shared" si="1"/>
        <v>Nov 01, 2023</v>
      </c>
      <c r="C10" s="1">
        <f t="shared" si="2"/>
        <v>2.37</v>
      </c>
      <c r="D10" s="3">
        <f t="shared" si="4"/>
        <v>0.02597402597</v>
      </c>
      <c r="E10" s="1">
        <f t="shared" si="5"/>
        <v>5</v>
      </c>
      <c r="F10" s="104" t="s">
        <v>68</v>
      </c>
      <c r="G10" s="118">
        <v>2.69</v>
      </c>
      <c r="H10" s="104">
        <v>2.64</v>
      </c>
      <c r="I10" s="104">
        <v>2.7</v>
      </c>
      <c r="J10" s="104">
        <v>2.63</v>
      </c>
      <c r="K10" s="104">
        <v>0.0</v>
      </c>
      <c r="L10" s="106">
        <v>0.0189</v>
      </c>
      <c r="M10" s="2" t="s">
        <v>51</v>
      </c>
      <c r="N10" s="3">
        <f>AVERAGE(D7:D114)</f>
        <v>0.001631925918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104</v>
      </c>
      <c r="B11" s="1" t="str">
        <f t="shared" si="1"/>
        <v>Nov 02, 2023</v>
      </c>
      <c r="C11" s="1">
        <f t="shared" si="2"/>
        <v>2.46</v>
      </c>
      <c r="D11" s="3">
        <f t="shared" si="4"/>
        <v>0.03797468354</v>
      </c>
      <c r="E11" s="1">
        <f t="shared" si="5"/>
        <v>6</v>
      </c>
      <c r="F11" s="104" t="s">
        <v>69</v>
      </c>
      <c r="G11" s="117">
        <v>2.64</v>
      </c>
      <c r="H11" s="104">
        <v>2.64</v>
      </c>
      <c r="I11" s="104">
        <v>2.66</v>
      </c>
      <c r="J11" s="104">
        <v>2.63</v>
      </c>
      <c r="K11" s="104">
        <v>0.0</v>
      </c>
      <c r="L11" s="108">
        <v>0.0</v>
      </c>
      <c r="M11" s="1" t="s">
        <v>67</v>
      </c>
      <c r="N11" s="3">
        <f>STDEV(D7:D114)</f>
        <v>0.01571038317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103</v>
      </c>
      <c r="B12" s="1" t="str">
        <f t="shared" si="1"/>
        <v>Nov 03, 2023</v>
      </c>
      <c r="C12" s="1">
        <f t="shared" si="2"/>
        <v>2.52</v>
      </c>
      <c r="D12" s="3">
        <f t="shared" si="4"/>
        <v>0.0243902439</v>
      </c>
      <c r="E12" s="1">
        <f t="shared" si="5"/>
        <v>7</v>
      </c>
      <c r="F12" s="104" t="s">
        <v>70</v>
      </c>
      <c r="G12" s="117">
        <v>2.64</v>
      </c>
      <c r="H12" s="104">
        <v>2.65</v>
      </c>
      <c r="I12" s="104">
        <v>2.66</v>
      </c>
      <c r="J12" s="104">
        <v>2.64</v>
      </c>
      <c r="K12" s="104">
        <v>0.0</v>
      </c>
      <c r="L12" s="108">
        <v>-0.0038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102</v>
      </c>
      <c r="B13" s="1" t="str">
        <f t="shared" si="1"/>
        <v>Nov 06, 2023</v>
      </c>
      <c r="C13" s="1">
        <f t="shared" si="2"/>
        <v>2.48</v>
      </c>
      <c r="D13" s="3">
        <f t="shared" si="4"/>
        <v>-0.01587301587</v>
      </c>
      <c r="E13" s="1">
        <f t="shared" si="5"/>
        <v>8</v>
      </c>
      <c r="F13" s="104" t="s">
        <v>71</v>
      </c>
      <c r="G13" s="118">
        <v>2.65</v>
      </c>
      <c r="H13" s="104">
        <v>2.62</v>
      </c>
      <c r="I13" s="104">
        <v>2.65</v>
      </c>
      <c r="J13" s="104">
        <v>2.61</v>
      </c>
      <c r="K13" s="104">
        <v>0.0</v>
      </c>
      <c r="L13" s="106">
        <v>0.0115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101</v>
      </c>
      <c r="B14" s="1" t="str">
        <f t="shared" si="1"/>
        <v>Nov 07, 2023</v>
      </c>
      <c r="C14" s="1">
        <f t="shared" si="2"/>
        <v>2.5</v>
      </c>
      <c r="D14" s="3">
        <f t="shared" si="4"/>
        <v>0.008064516129</v>
      </c>
      <c r="E14" s="1">
        <f t="shared" si="5"/>
        <v>9</v>
      </c>
      <c r="F14" s="104" t="s">
        <v>72</v>
      </c>
      <c r="G14" s="117">
        <v>2.62</v>
      </c>
      <c r="H14" s="104">
        <v>2.69</v>
      </c>
      <c r="I14" s="104">
        <v>2.69</v>
      </c>
      <c r="J14" s="104">
        <v>2.61</v>
      </c>
      <c r="K14" s="104">
        <v>0.0</v>
      </c>
      <c r="L14" s="108">
        <v>-0.026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100</v>
      </c>
      <c r="B15" s="1" t="str">
        <f t="shared" si="1"/>
        <v>Nov 08, 2023</v>
      </c>
      <c r="C15" s="1">
        <f t="shared" si="2"/>
        <v>2.52</v>
      </c>
      <c r="D15" s="3">
        <f t="shared" si="4"/>
        <v>0.008</v>
      </c>
      <c r="E15" s="1">
        <f t="shared" si="5"/>
        <v>10</v>
      </c>
      <c r="F15" s="104" t="s">
        <v>73</v>
      </c>
      <c r="G15" s="118">
        <v>2.69</v>
      </c>
      <c r="H15" s="104">
        <v>2.68</v>
      </c>
      <c r="I15" s="104">
        <v>2.7</v>
      </c>
      <c r="J15" s="104">
        <v>2.68</v>
      </c>
      <c r="K15" s="104">
        <v>0.0</v>
      </c>
      <c r="L15" s="106">
        <v>0.0037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99</v>
      </c>
      <c r="B16" s="1" t="str">
        <f t="shared" si="1"/>
        <v>Nov 09, 2023</v>
      </c>
      <c r="C16" s="1">
        <f t="shared" si="2"/>
        <v>2.46</v>
      </c>
      <c r="D16" s="3">
        <f t="shared" si="4"/>
        <v>-0.02380952381</v>
      </c>
      <c r="E16" s="1">
        <f t="shared" si="5"/>
        <v>11</v>
      </c>
      <c r="F16" s="104" t="s">
        <v>74</v>
      </c>
      <c r="G16" s="118">
        <v>2.68</v>
      </c>
      <c r="H16" s="104">
        <v>2.67</v>
      </c>
      <c r="I16" s="104">
        <v>2.68</v>
      </c>
      <c r="J16" s="104">
        <v>2.66</v>
      </c>
      <c r="K16" s="104">
        <v>0.0</v>
      </c>
      <c r="L16" s="106">
        <v>0.0037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98</v>
      </c>
      <c r="B17" s="1" t="str">
        <f t="shared" si="1"/>
        <v>Nov 10, 2023</v>
      </c>
      <c r="C17" s="1">
        <f t="shared" si="2"/>
        <v>2.48</v>
      </c>
      <c r="D17" s="3">
        <f t="shared" si="4"/>
        <v>0.008130081301</v>
      </c>
      <c r="E17" s="1">
        <f t="shared" si="5"/>
        <v>12</v>
      </c>
      <c r="F17" s="104" t="s">
        <v>75</v>
      </c>
      <c r="G17" s="118">
        <v>2.67</v>
      </c>
      <c r="H17" s="104">
        <v>2.66</v>
      </c>
      <c r="I17" s="104">
        <v>2.68</v>
      </c>
      <c r="J17" s="104">
        <v>2.65</v>
      </c>
      <c r="K17" s="104">
        <v>0.0</v>
      </c>
      <c r="L17" s="106">
        <v>0.0038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97</v>
      </c>
      <c r="B18" s="1" t="str">
        <f t="shared" si="1"/>
        <v>Nov 13, 2023</v>
      </c>
      <c r="C18" s="1">
        <f t="shared" si="2"/>
        <v>2.48</v>
      </c>
      <c r="D18" s="3">
        <f t="shared" si="4"/>
        <v>0</v>
      </c>
      <c r="E18" s="1">
        <f t="shared" si="5"/>
        <v>13</v>
      </c>
      <c r="F18" s="104" t="s">
        <v>174</v>
      </c>
      <c r="G18" s="118">
        <v>2.66</v>
      </c>
      <c r="H18" s="104">
        <v>2.65</v>
      </c>
      <c r="I18" s="104">
        <v>2.69</v>
      </c>
      <c r="J18" s="104">
        <v>2.65</v>
      </c>
      <c r="K18" s="104">
        <v>0.0</v>
      </c>
      <c r="L18" s="106">
        <v>0.0038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96</v>
      </c>
      <c r="B19" s="1" t="str">
        <f t="shared" si="1"/>
        <v>Nov 14, 2023</v>
      </c>
      <c r="C19" s="1">
        <f t="shared" si="2"/>
        <v>2.6</v>
      </c>
      <c r="D19" s="3">
        <f t="shared" si="4"/>
        <v>0.04838709677</v>
      </c>
      <c r="E19" s="1">
        <f t="shared" si="5"/>
        <v>14</v>
      </c>
      <c r="F19" s="104" t="s">
        <v>76</v>
      </c>
      <c r="G19" s="118">
        <v>2.65</v>
      </c>
      <c r="H19" s="104">
        <v>2.63</v>
      </c>
      <c r="I19" s="104">
        <v>2.66</v>
      </c>
      <c r="J19" s="104">
        <v>2.63</v>
      </c>
      <c r="K19" s="104">
        <v>0.0</v>
      </c>
      <c r="L19" s="106">
        <v>0.0076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95</v>
      </c>
      <c r="B20" s="1" t="str">
        <f t="shared" si="1"/>
        <v>Nov 15, 2023</v>
      </c>
      <c r="C20" s="1">
        <f t="shared" si="2"/>
        <v>2.63</v>
      </c>
      <c r="D20" s="3">
        <f t="shared" si="4"/>
        <v>0.01153846154</v>
      </c>
      <c r="E20" s="1">
        <f t="shared" si="5"/>
        <v>15</v>
      </c>
      <c r="F20" s="104" t="s">
        <v>77</v>
      </c>
      <c r="G20" s="118">
        <v>2.63</v>
      </c>
      <c r="H20" s="104">
        <v>2.61</v>
      </c>
      <c r="I20" s="104">
        <v>2.65</v>
      </c>
      <c r="J20" s="104">
        <v>2.61</v>
      </c>
      <c r="K20" s="104">
        <v>0.0</v>
      </c>
      <c r="L20" s="106">
        <v>0.0077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94</v>
      </c>
      <c r="B21" s="1" t="str">
        <f t="shared" si="1"/>
        <v>Nov 16, 2023</v>
      </c>
      <c r="C21" s="1">
        <f t="shared" si="2"/>
        <v>2.57</v>
      </c>
      <c r="D21" s="3">
        <f t="shared" si="4"/>
        <v>-0.02281368821</v>
      </c>
      <c r="E21" s="1">
        <f t="shared" si="5"/>
        <v>16</v>
      </c>
      <c r="F21" s="104" t="s">
        <v>78</v>
      </c>
      <c r="G21" s="118">
        <v>2.61</v>
      </c>
      <c r="H21" s="104">
        <v>2.6</v>
      </c>
      <c r="I21" s="104">
        <v>2.62</v>
      </c>
      <c r="J21" s="104">
        <v>2.59</v>
      </c>
      <c r="K21" s="104">
        <v>0.0</v>
      </c>
      <c r="L21" s="106">
        <v>0.0038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93</v>
      </c>
      <c r="B22" s="1" t="str">
        <f t="shared" si="1"/>
        <v>Nov 17, 2023</v>
      </c>
      <c r="C22" s="1">
        <f t="shared" si="2"/>
        <v>2.59</v>
      </c>
      <c r="D22" s="3">
        <f t="shared" si="4"/>
        <v>0.007782101167</v>
      </c>
      <c r="E22" s="1">
        <f t="shared" si="5"/>
        <v>17</v>
      </c>
      <c r="F22" s="104" t="s">
        <v>79</v>
      </c>
      <c r="G22" s="117">
        <v>2.6</v>
      </c>
      <c r="H22" s="104">
        <v>2.65</v>
      </c>
      <c r="I22" s="104">
        <v>2.65</v>
      </c>
      <c r="J22" s="104">
        <v>2.6</v>
      </c>
      <c r="K22" s="104">
        <v>0.0</v>
      </c>
      <c r="L22" s="108">
        <v>-0.0189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92</v>
      </c>
      <c r="B23" s="1" t="str">
        <f t="shared" si="1"/>
        <v>Nov 20, 2023</v>
      </c>
      <c r="C23" s="1">
        <f t="shared" si="2"/>
        <v>2.6</v>
      </c>
      <c r="D23" s="3">
        <f t="shared" si="4"/>
        <v>0.003861003861</v>
      </c>
      <c r="E23" s="1">
        <f t="shared" si="5"/>
        <v>18</v>
      </c>
      <c r="F23" s="104" t="s">
        <v>80</v>
      </c>
      <c r="G23" s="118">
        <v>2.65</v>
      </c>
      <c r="H23" s="104">
        <v>2.64</v>
      </c>
      <c r="I23" s="104">
        <v>2.66</v>
      </c>
      <c r="J23" s="104">
        <v>2.61</v>
      </c>
      <c r="K23" s="104">
        <v>0.0</v>
      </c>
      <c r="L23" s="106">
        <v>0.0038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91</v>
      </c>
      <c r="B24" s="1" t="str">
        <f t="shared" si="1"/>
        <v>Nov 21, 2023</v>
      </c>
      <c r="C24" s="1">
        <f t="shared" si="2"/>
        <v>2.59</v>
      </c>
      <c r="D24" s="3">
        <f t="shared" si="4"/>
        <v>-0.003846153846</v>
      </c>
      <c r="E24" s="1">
        <f t="shared" si="5"/>
        <v>19</v>
      </c>
      <c r="F24" s="104" t="s">
        <v>81</v>
      </c>
      <c r="G24" s="118">
        <v>2.64</v>
      </c>
      <c r="H24" s="104">
        <v>2.57</v>
      </c>
      <c r="I24" s="104">
        <v>2.64</v>
      </c>
      <c r="J24" s="104">
        <v>2.57</v>
      </c>
      <c r="K24" s="104">
        <v>0.0</v>
      </c>
      <c r="L24" s="106">
        <v>0.0272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90</v>
      </c>
      <c r="B25" s="1" t="str">
        <f t="shared" si="1"/>
        <v>Nov 22, 2023</v>
      </c>
      <c r="C25" s="1">
        <f t="shared" si="2"/>
        <v>2.6</v>
      </c>
      <c r="D25" s="3">
        <f t="shared" si="4"/>
        <v>0.003861003861</v>
      </c>
      <c r="E25" s="1">
        <f t="shared" si="5"/>
        <v>20</v>
      </c>
      <c r="F25" s="104" t="s">
        <v>82</v>
      </c>
      <c r="G25" s="117">
        <v>2.57</v>
      </c>
      <c r="H25" s="104">
        <v>2.6</v>
      </c>
      <c r="I25" s="104">
        <v>2.6</v>
      </c>
      <c r="J25" s="104">
        <v>2.56</v>
      </c>
      <c r="K25" s="104">
        <v>0.0</v>
      </c>
      <c r="L25" s="108">
        <v>-0.0115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89</v>
      </c>
      <c r="B26" s="1" t="str">
        <f t="shared" si="1"/>
        <v>Nov 23, 2023</v>
      </c>
      <c r="C26" s="1">
        <f t="shared" si="2"/>
        <v>2.6</v>
      </c>
      <c r="D26" s="3">
        <f t="shared" si="4"/>
        <v>0</v>
      </c>
      <c r="E26" s="1">
        <f t="shared" si="5"/>
        <v>21</v>
      </c>
      <c r="F26" s="104" t="s">
        <v>83</v>
      </c>
      <c r="G26" s="118">
        <v>2.6</v>
      </c>
      <c r="H26" s="104">
        <v>2.59</v>
      </c>
      <c r="I26" s="104">
        <v>2.61</v>
      </c>
      <c r="J26" s="104">
        <v>2.59</v>
      </c>
      <c r="K26" s="104">
        <v>0.0</v>
      </c>
      <c r="L26" s="106">
        <v>0.0039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88</v>
      </c>
      <c r="B27" s="1" t="str">
        <f t="shared" si="1"/>
        <v>Nov 24, 2023</v>
      </c>
      <c r="C27" s="1">
        <f t="shared" si="2"/>
        <v>2.59</v>
      </c>
      <c r="D27" s="3">
        <f t="shared" si="4"/>
        <v>-0.003846153846</v>
      </c>
      <c r="E27" s="1">
        <f t="shared" si="5"/>
        <v>22</v>
      </c>
      <c r="F27" s="104" t="s">
        <v>84</v>
      </c>
      <c r="G27" s="117">
        <v>2.59</v>
      </c>
      <c r="H27" s="104">
        <v>2.61</v>
      </c>
      <c r="I27" s="104">
        <v>2.62</v>
      </c>
      <c r="J27" s="104">
        <v>2.59</v>
      </c>
      <c r="K27" s="104">
        <v>0.0</v>
      </c>
      <c r="L27" s="108">
        <v>-0.0077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87</v>
      </c>
      <c r="B28" s="1" t="str">
        <f t="shared" si="1"/>
        <v>Nov 27, 2023</v>
      </c>
      <c r="C28" s="1">
        <f t="shared" si="2"/>
        <v>2.57</v>
      </c>
      <c r="D28" s="3">
        <f t="shared" si="4"/>
        <v>-0.007722007722</v>
      </c>
      <c r="E28" s="1">
        <f t="shared" si="5"/>
        <v>23</v>
      </c>
      <c r="F28" s="104" t="s">
        <v>85</v>
      </c>
      <c r="G28" s="118">
        <v>2.61</v>
      </c>
      <c r="H28" s="104">
        <v>2.6</v>
      </c>
      <c r="I28" s="104">
        <v>2.62</v>
      </c>
      <c r="J28" s="104">
        <v>2.59</v>
      </c>
      <c r="K28" s="104">
        <v>0.0</v>
      </c>
      <c r="L28" s="106">
        <v>0.0038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86</v>
      </c>
      <c r="B29" s="1" t="str">
        <f t="shared" si="1"/>
        <v>Nov 28, 2023</v>
      </c>
      <c r="C29" s="1">
        <f t="shared" si="2"/>
        <v>2.59</v>
      </c>
      <c r="D29" s="3">
        <f t="shared" si="4"/>
        <v>0.007782101167</v>
      </c>
      <c r="E29" s="1">
        <f t="shared" si="5"/>
        <v>24</v>
      </c>
      <c r="F29" s="104" t="s">
        <v>86</v>
      </c>
      <c r="G29" s="118">
        <v>2.6</v>
      </c>
      <c r="H29" s="104">
        <v>2.59</v>
      </c>
      <c r="I29" s="104">
        <v>2.61</v>
      </c>
      <c r="J29" s="104">
        <v>2.58</v>
      </c>
      <c r="K29" s="104">
        <v>0.0</v>
      </c>
      <c r="L29" s="106">
        <v>0.0039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85</v>
      </c>
      <c r="B30" s="1" t="str">
        <f t="shared" si="1"/>
        <v>Nov 29, 2023</v>
      </c>
      <c r="C30" s="1">
        <f t="shared" si="2"/>
        <v>2.63</v>
      </c>
      <c r="D30" s="3">
        <f t="shared" si="4"/>
        <v>0.01544401544</v>
      </c>
      <c r="E30" s="1">
        <f t="shared" si="5"/>
        <v>25</v>
      </c>
      <c r="F30" s="104" t="s">
        <v>87</v>
      </c>
      <c r="G30" s="117">
        <v>2.59</v>
      </c>
      <c r="H30" s="104">
        <v>2.59</v>
      </c>
      <c r="I30" s="104">
        <v>2.6</v>
      </c>
      <c r="J30" s="104">
        <v>2.57</v>
      </c>
      <c r="K30" s="104">
        <v>0.0</v>
      </c>
      <c r="L30" s="108">
        <v>0.0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84</v>
      </c>
      <c r="B31" s="1" t="str">
        <f t="shared" si="1"/>
        <v>Nov 30, 2023</v>
      </c>
      <c r="C31" s="1">
        <f t="shared" si="2"/>
        <v>2.63</v>
      </c>
      <c r="D31" s="3">
        <f t="shared" si="4"/>
        <v>0</v>
      </c>
      <c r="E31" s="1">
        <f t="shared" si="5"/>
        <v>26</v>
      </c>
      <c r="F31" s="104" t="s">
        <v>88</v>
      </c>
      <c r="G31" s="117">
        <v>2.59</v>
      </c>
      <c r="H31" s="104">
        <v>2.61</v>
      </c>
      <c r="I31" s="104">
        <v>2.61</v>
      </c>
      <c r="J31" s="104">
        <v>2.58</v>
      </c>
      <c r="K31" s="104">
        <v>0.0</v>
      </c>
      <c r="L31" s="108">
        <v>-0.0077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83</v>
      </c>
      <c r="B32" s="1" t="str">
        <f t="shared" si="1"/>
        <v>Dec 01, 2023</v>
      </c>
      <c r="C32" s="1">
        <f t="shared" si="2"/>
        <v>2.71</v>
      </c>
      <c r="D32" s="3">
        <f t="shared" si="4"/>
        <v>0.03041825095</v>
      </c>
      <c r="E32" s="1">
        <f t="shared" si="5"/>
        <v>27</v>
      </c>
      <c r="F32" s="104" t="s">
        <v>89</v>
      </c>
      <c r="G32" s="117">
        <v>2.61</v>
      </c>
      <c r="H32" s="104">
        <v>2.62</v>
      </c>
      <c r="I32" s="104">
        <v>2.64</v>
      </c>
      <c r="J32" s="104">
        <v>2.58</v>
      </c>
      <c r="K32" s="104">
        <v>0.0</v>
      </c>
      <c r="L32" s="108">
        <v>0.0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82</v>
      </c>
      <c r="B33" s="1" t="str">
        <f t="shared" si="1"/>
        <v>Dec 04, 2023</v>
      </c>
      <c r="C33" s="1">
        <f t="shared" si="2"/>
        <v>2.72</v>
      </c>
      <c r="D33" s="3">
        <f t="shared" si="4"/>
        <v>0.0036900369</v>
      </c>
      <c r="E33" s="1">
        <f t="shared" si="5"/>
        <v>28</v>
      </c>
      <c r="F33" s="104" t="s">
        <v>90</v>
      </c>
      <c r="G33" s="117">
        <v>2.61</v>
      </c>
      <c r="H33" s="104">
        <v>2.62</v>
      </c>
      <c r="I33" s="104">
        <v>2.64</v>
      </c>
      <c r="J33" s="104">
        <v>2.58</v>
      </c>
      <c r="K33" s="104">
        <v>0.0</v>
      </c>
      <c r="L33" s="108">
        <v>-0.0038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81</v>
      </c>
      <c r="B34" s="1" t="str">
        <f t="shared" si="1"/>
        <v>Dec 05, 2023</v>
      </c>
      <c r="C34" s="1">
        <f t="shared" si="2"/>
        <v>2.7</v>
      </c>
      <c r="D34" s="3">
        <f t="shared" si="4"/>
        <v>-0.007352941176</v>
      </c>
      <c r="E34" s="1">
        <f t="shared" si="5"/>
        <v>29</v>
      </c>
      <c r="F34" s="104" t="s">
        <v>91</v>
      </c>
      <c r="G34" s="118">
        <v>2.62</v>
      </c>
      <c r="H34" s="104">
        <v>2.54</v>
      </c>
      <c r="I34" s="104">
        <v>2.64</v>
      </c>
      <c r="J34" s="104">
        <v>2.54</v>
      </c>
      <c r="K34" s="104">
        <v>0.0</v>
      </c>
      <c r="L34" s="106">
        <v>0.0315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80</v>
      </c>
      <c r="B35" s="1" t="str">
        <f t="shared" si="1"/>
        <v>Dec 06, 2023</v>
      </c>
      <c r="C35" s="1">
        <f t="shared" si="2"/>
        <v>2.63</v>
      </c>
      <c r="D35" s="3">
        <f t="shared" si="4"/>
        <v>-0.02592592593</v>
      </c>
      <c r="E35" s="1">
        <f t="shared" si="5"/>
        <v>30</v>
      </c>
      <c r="F35" s="104" t="s">
        <v>92</v>
      </c>
      <c r="G35" s="118">
        <v>2.54</v>
      </c>
      <c r="H35" s="104">
        <v>2.5</v>
      </c>
      <c r="I35" s="104">
        <v>2.54</v>
      </c>
      <c r="J35" s="104">
        <v>2.5</v>
      </c>
      <c r="K35" s="104">
        <v>0.0</v>
      </c>
      <c r="L35" s="106">
        <v>0.016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79</v>
      </c>
      <c r="B36" s="1" t="str">
        <f t="shared" si="1"/>
        <v>Dec 07, 2023</v>
      </c>
      <c r="C36" s="1">
        <f t="shared" si="2"/>
        <v>2.66</v>
      </c>
      <c r="D36" s="3">
        <f t="shared" si="4"/>
        <v>0.01140684411</v>
      </c>
      <c r="E36" s="1">
        <f t="shared" si="5"/>
        <v>31</v>
      </c>
      <c r="F36" s="104" t="s">
        <v>93</v>
      </c>
      <c r="G36" s="117">
        <v>2.5</v>
      </c>
      <c r="H36" s="104">
        <v>2.6</v>
      </c>
      <c r="I36" s="104">
        <v>2.6</v>
      </c>
      <c r="J36" s="104">
        <v>2.49</v>
      </c>
      <c r="K36" s="104">
        <v>0.0</v>
      </c>
      <c r="L36" s="108">
        <v>-0.0385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78</v>
      </c>
      <c r="B37" s="1" t="str">
        <f t="shared" si="1"/>
        <v>Dec 08, 2023</v>
      </c>
      <c r="C37" s="1">
        <f t="shared" si="2"/>
        <v>2.68</v>
      </c>
      <c r="D37" s="3">
        <f t="shared" si="4"/>
        <v>0.007518796992</v>
      </c>
      <c r="E37" s="1">
        <f t="shared" si="5"/>
        <v>32</v>
      </c>
      <c r="F37" s="104" t="s">
        <v>94</v>
      </c>
      <c r="G37" s="118">
        <v>2.6</v>
      </c>
      <c r="H37" s="104">
        <v>2.57</v>
      </c>
      <c r="I37" s="104">
        <v>2.61</v>
      </c>
      <c r="J37" s="104">
        <v>2.56</v>
      </c>
      <c r="K37" s="104">
        <v>0.0</v>
      </c>
      <c r="L37" s="106">
        <v>0.0117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77</v>
      </c>
      <c r="B38" s="1" t="str">
        <f t="shared" si="1"/>
        <v>Dec 11, 2023</v>
      </c>
      <c r="C38" s="1">
        <f t="shared" si="2"/>
        <v>2.68</v>
      </c>
      <c r="D38" s="3">
        <f t="shared" si="4"/>
        <v>0</v>
      </c>
      <c r="E38" s="1">
        <f t="shared" si="5"/>
        <v>33</v>
      </c>
      <c r="F38" s="104" t="s">
        <v>95</v>
      </c>
      <c r="G38" s="118">
        <v>2.57</v>
      </c>
      <c r="H38" s="104">
        <v>2.54</v>
      </c>
      <c r="I38" s="104">
        <v>2.57</v>
      </c>
      <c r="J38" s="104">
        <v>2.54</v>
      </c>
      <c r="K38" s="104">
        <v>0.0</v>
      </c>
      <c r="L38" s="106">
        <v>0.0118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76</v>
      </c>
      <c r="B39" s="1" t="str">
        <f t="shared" si="1"/>
        <v>Dec 12, 2023</v>
      </c>
      <c r="C39" s="1">
        <f t="shared" si="2"/>
        <v>2.7</v>
      </c>
      <c r="D39" s="3">
        <f t="shared" si="4"/>
        <v>0.007462686567</v>
      </c>
      <c r="E39" s="1">
        <f t="shared" si="5"/>
        <v>34</v>
      </c>
      <c r="F39" s="104" t="s">
        <v>96</v>
      </c>
      <c r="G39" s="117">
        <v>2.54</v>
      </c>
      <c r="H39" s="104">
        <v>2.54</v>
      </c>
      <c r="I39" s="104">
        <v>2.56</v>
      </c>
      <c r="J39" s="104">
        <v>2.53</v>
      </c>
      <c r="K39" s="104">
        <v>0.0</v>
      </c>
      <c r="L39" s="108">
        <v>0.0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75</v>
      </c>
      <c r="B40" s="1" t="str">
        <f t="shared" si="1"/>
        <v>Dec 13, 2023</v>
      </c>
      <c r="C40" s="1">
        <f t="shared" si="2"/>
        <v>2.81</v>
      </c>
      <c r="D40" s="3">
        <f t="shared" si="4"/>
        <v>0.04074074074</v>
      </c>
      <c r="E40" s="1">
        <f t="shared" si="5"/>
        <v>35</v>
      </c>
      <c r="F40" s="104" t="s">
        <v>97</v>
      </c>
      <c r="G40" s="117">
        <v>2.54</v>
      </c>
      <c r="H40" s="104">
        <v>2.61</v>
      </c>
      <c r="I40" s="104">
        <v>2.61</v>
      </c>
      <c r="J40" s="104">
        <v>2.52</v>
      </c>
      <c r="K40" s="104">
        <v>0.0</v>
      </c>
      <c r="L40" s="108">
        <v>-0.0268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74</v>
      </c>
      <c r="B41" s="1" t="str">
        <f t="shared" si="1"/>
        <v>Dec 14, 2023</v>
      </c>
      <c r="C41" s="1">
        <f t="shared" si="2"/>
        <v>2.9</v>
      </c>
      <c r="D41" s="3">
        <f t="shared" si="4"/>
        <v>0.03202846975</v>
      </c>
      <c r="E41" s="1">
        <f t="shared" si="5"/>
        <v>36</v>
      </c>
      <c r="F41" s="104" t="s">
        <v>98</v>
      </c>
      <c r="G41" s="117">
        <v>2.61</v>
      </c>
      <c r="H41" s="104">
        <v>2.61</v>
      </c>
      <c r="I41" s="104">
        <v>2.64</v>
      </c>
      <c r="J41" s="104">
        <v>2.6</v>
      </c>
      <c r="K41" s="104">
        <v>0.0</v>
      </c>
      <c r="L41" s="108">
        <v>0.0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73</v>
      </c>
      <c r="B42" s="1" t="str">
        <f t="shared" si="1"/>
        <v>Dec 15, 2023</v>
      </c>
      <c r="C42" s="1">
        <f t="shared" si="2"/>
        <v>2.85</v>
      </c>
      <c r="D42" s="3">
        <f t="shared" si="4"/>
        <v>-0.01724137931</v>
      </c>
      <c r="E42" s="1">
        <f t="shared" si="5"/>
        <v>37</v>
      </c>
      <c r="F42" s="104" t="s">
        <v>99</v>
      </c>
      <c r="G42" s="117">
        <v>2.61</v>
      </c>
      <c r="H42" s="104">
        <v>2.65</v>
      </c>
      <c r="I42" s="104">
        <v>2.65</v>
      </c>
      <c r="J42" s="104">
        <v>2.56</v>
      </c>
      <c r="K42" s="104">
        <v>0.0</v>
      </c>
      <c r="L42" s="108">
        <v>-0.0151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72</v>
      </c>
      <c r="B43" s="1" t="str">
        <f t="shared" si="1"/>
        <v>Dec 18, 2023</v>
      </c>
      <c r="C43" s="1">
        <f t="shared" si="2"/>
        <v>2.84</v>
      </c>
      <c r="D43" s="3">
        <f t="shared" si="4"/>
        <v>-0.00350877193</v>
      </c>
      <c r="E43" s="1">
        <f t="shared" si="5"/>
        <v>38</v>
      </c>
      <c r="F43" s="104" t="s">
        <v>100</v>
      </c>
      <c r="G43" s="117">
        <v>2.65</v>
      </c>
      <c r="H43" s="104">
        <v>2.7</v>
      </c>
      <c r="I43" s="104">
        <v>2.7</v>
      </c>
      <c r="J43" s="104">
        <v>2.63</v>
      </c>
      <c r="K43" s="104">
        <v>0.0</v>
      </c>
      <c r="L43" s="108">
        <v>-0.0185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71</v>
      </c>
      <c r="B44" s="1" t="str">
        <f t="shared" si="1"/>
        <v>Dec 19, 2023</v>
      </c>
      <c r="C44" s="1">
        <f t="shared" si="2"/>
        <v>2.89</v>
      </c>
      <c r="D44" s="3">
        <f t="shared" si="4"/>
        <v>0.0176056338</v>
      </c>
      <c r="E44" s="1">
        <f t="shared" si="5"/>
        <v>39</v>
      </c>
      <c r="F44" s="104" t="s">
        <v>101</v>
      </c>
      <c r="G44" s="118">
        <v>2.7</v>
      </c>
      <c r="H44" s="104">
        <v>2.67</v>
      </c>
      <c r="I44" s="104">
        <v>2.7</v>
      </c>
      <c r="J44" s="104">
        <v>2.63</v>
      </c>
      <c r="K44" s="104">
        <v>0.0</v>
      </c>
      <c r="L44" s="106">
        <v>0.0112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70</v>
      </c>
      <c r="B45" s="1" t="str">
        <f t="shared" si="1"/>
        <v>Dec 20, 2023</v>
      </c>
      <c r="C45" s="1">
        <f t="shared" si="2"/>
        <v>2.85</v>
      </c>
      <c r="D45" s="3">
        <f t="shared" si="4"/>
        <v>-0.01384083045</v>
      </c>
      <c r="E45" s="1">
        <f t="shared" si="5"/>
        <v>40</v>
      </c>
      <c r="F45" s="104" t="s">
        <v>102</v>
      </c>
      <c r="G45" s="117">
        <v>2.67</v>
      </c>
      <c r="H45" s="104">
        <v>2.75</v>
      </c>
      <c r="I45" s="104">
        <v>2.75</v>
      </c>
      <c r="J45" s="104">
        <v>2.67</v>
      </c>
      <c r="K45" s="104">
        <v>0.0</v>
      </c>
      <c r="L45" s="108">
        <v>-0.0291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69</v>
      </c>
      <c r="B46" s="1" t="str">
        <f t="shared" si="1"/>
        <v>Dec 21, 2023</v>
      </c>
      <c r="C46" s="1">
        <f t="shared" si="2"/>
        <v>2.9</v>
      </c>
      <c r="D46" s="3">
        <f t="shared" si="4"/>
        <v>0.01754385965</v>
      </c>
      <c r="E46" s="1">
        <f t="shared" si="5"/>
        <v>41</v>
      </c>
      <c r="F46" s="104" t="s">
        <v>103</v>
      </c>
      <c r="G46" s="117">
        <v>2.75</v>
      </c>
      <c r="H46" s="104">
        <v>2.81</v>
      </c>
      <c r="I46" s="104">
        <v>2.81</v>
      </c>
      <c r="J46" s="104">
        <v>2.75</v>
      </c>
      <c r="K46" s="104">
        <v>0.0</v>
      </c>
      <c r="L46" s="108">
        <v>-0.0214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68</v>
      </c>
      <c r="B47" s="1" t="str">
        <f t="shared" si="1"/>
        <v>Dec 22, 2023</v>
      </c>
      <c r="C47" s="1">
        <f t="shared" si="2"/>
        <v>2.89</v>
      </c>
      <c r="D47" s="3">
        <f t="shared" si="4"/>
        <v>-0.003448275862</v>
      </c>
      <c r="E47" s="1">
        <f t="shared" si="5"/>
        <v>42</v>
      </c>
      <c r="F47" s="104" t="s">
        <v>104</v>
      </c>
      <c r="G47" s="118">
        <v>2.81</v>
      </c>
      <c r="H47" s="104">
        <v>2.77</v>
      </c>
      <c r="I47" s="104">
        <v>2.81</v>
      </c>
      <c r="J47" s="104">
        <v>2.77</v>
      </c>
      <c r="K47" s="104">
        <v>0.0</v>
      </c>
      <c r="L47" s="106">
        <v>0.0144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67</v>
      </c>
      <c r="B48" s="1" t="str">
        <f t="shared" si="1"/>
        <v>Dec 25, 2023</v>
      </c>
      <c r="C48" s="1">
        <f t="shared" si="2"/>
        <v>2.89</v>
      </c>
      <c r="D48" s="3">
        <f t="shared" si="4"/>
        <v>0</v>
      </c>
      <c r="E48" s="1">
        <f t="shared" si="5"/>
        <v>43</v>
      </c>
      <c r="F48" s="104" t="s">
        <v>175</v>
      </c>
      <c r="G48" s="118">
        <v>2.77</v>
      </c>
      <c r="H48" s="104">
        <v>2.76</v>
      </c>
      <c r="I48" s="104">
        <v>2.79</v>
      </c>
      <c r="J48" s="104">
        <v>2.76</v>
      </c>
      <c r="K48" s="104">
        <v>0.0</v>
      </c>
      <c r="L48" s="106">
        <v>0.0036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66</v>
      </c>
      <c r="B49" s="1" t="str">
        <f t="shared" si="1"/>
        <v>Dec 26, 2023</v>
      </c>
      <c r="C49" s="1">
        <f t="shared" si="2"/>
        <v>2.93</v>
      </c>
      <c r="D49" s="3">
        <f t="shared" si="4"/>
        <v>0.01384083045</v>
      </c>
      <c r="E49" s="1">
        <f t="shared" si="5"/>
        <v>44</v>
      </c>
      <c r="F49" s="104" t="s">
        <v>105</v>
      </c>
      <c r="G49" s="118">
        <v>2.76</v>
      </c>
      <c r="H49" s="104">
        <v>2.74</v>
      </c>
      <c r="I49" s="104">
        <v>2.77</v>
      </c>
      <c r="J49" s="104">
        <v>2.73</v>
      </c>
      <c r="K49" s="104">
        <v>0.0</v>
      </c>
      <c r="L49" s="106">
        <v>0.0073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65</v>
      </c>
      <c r="B50" s="1" t="str">
        <f t="shared" si="1"/>
        <v>Dec 27, 2023</v>
      </c>
      <c r="C50" s="1">
        <f t="shared" si="2"/>
        <v>2.93</v>
      </c>
      <c r="D50" s="3">
        <f t="shared" si="4"/>
        <v>0</v>
      </c>
      <c r="E50" s="1">
        <f t="shared" si="5"/>
        <v>45</v>
      </c>
      <c r="F50" s="104" t="s">
        <v>106</v>
      </c>
      <c r="G50" s="117">
        <v>2.74</v>
      </c>
      <c r="H50" s="104">
        <v>2.75</v>
      </c>
      <c r="I50" s="104">
        <v>2.78</v>
      </c>
      <c r="J50" s="104">
        <v>2.73</v>
      </c>
      <c r="K50" s="104">
        <v>0.0</v>
      </c>
      <c r="L50" s="108">
        <v>-0.0036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64</v>
      </c>
      <c r="B51" s="1" t="str">
        <f t="shared" si="1"/>
        <v>Dec 28, 2023</v>
      </c>
      <c r="C51" s="1">
        <f t="shared" si="2"/>
        <v>2.85</v>
      </c>
      <c r="D51" s="3">
        <f t="shared" si="4"/>
        <v>-0.02730375427</v>
      </c>
      <c r="E51" s="1">
        <f t="shared" si="5"/>
        <v>46</v>
      </c>
      <c r="F51" s="104" t="s">
        <v>107</v>
      </c>
      <c r="G51" s="118">
        <v>2.75</v>
      </c>
      <c r="H51" s="104">
        <v>2.74</v>
      </c>
      <c r="I51" s="104">
        <v>2.76</v>
      </c>
      <c r="J51" s="104">
        <v>2.73</v>
      </c>
      <c r="K51" s="104">
        <v>0.0</v>
      </c>
      <c r="L51" s="106">
        <v>0.0036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63</v>
      </c>
      <c r="B52" s="1" t="str">
        <f t="shared" si="1"/>
        <v>Dec 29, 2023</v>
      </c>
      <c r="C52" s="1">
        <f t="shared" si="2"/>
        <v>2.79</v>
      </c>
      <c r="D52" s="3">
        <f t="shared" si="4"/>
        <v>-0.02105263158</v>
      </c>
      <c r="E52" s="1">
        <f t="shared" si="5"/>
        <v>47</v>
      </c>
      <c r="F52" s="104" t="s">
        <v>176</v>
      </c>
      <c r="G52" s="117">
        <v>2.74</v>
      </c>
      <c r="H52" s="104">
        <v>2.75</v>
      </c>
      <c r="I52" s="104">
        <v>2.78</v>
      </c>
      <c r="J52" s="104">
        <v>2.73</v>
      </c>
      <c r="K52" s="104">
        <v>0.0</v>
      </c>
      <c r="L52" s="108">
        <v>-0.0036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62</v>
      </c>
      <c r="B53" s="1" t="str">
        <f t="shared" si="1"/>
        <v>Jan 01, 2024</v>
      </c>
      <c r="C53" s="1">
        <f t="shared" si="2"/>
        <v>2.79</v>
      </c>
      <c r="D53" s="3">
        <f t="shared" si="4"/>
        <v>0</v>
      </c>
      <c r="E53" s="1">
        <f t="shared" si="5"/>
        <v>48</v>
      </c>
      <c r="F53" s="104" t="s">
        <v>108</v>
      </c>
      <c r="G53" s="118">
        <v>2.75</v>
      </c>
      <c r="H53" s="104">
        <v>2.72</v>
      </c>
      <c r="I53" s="104">
        <v>2.75</v>
      </c>
      <c r="J53" s="104">
        <v>2.69</v>
      </c>
      <c r="K53" s="104">
        <v>0.0</v>
      </c>
      <c r="L53" s="106">
        <v>0.011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61</v>
      </c>
      <c r="B54" s="1" t="str">
        <f t="shared" si="1"/>
        <v>Jan 02, 2024</v>
      </c>
      <c r="C54" s="1">
        <f t="shared" si="2"/>
        <v>2.77</v>
      </c>
      <c r="D54" s="3">
        <f t="shared" si="4"/>
        <v>-0.007168458781</v>
      </c>
      <c r="E54" s="1">
        <f t="shared" si="5"/>
        <v>49</v>
      </c>
      <c r="F54" s="104" t="s">
        <v>109</v>
      </c>
      <c r="G54" s="118">
        <v>2.72</v>
      </c>
      <c r="H54" s="104">
        <v>2.7</v>
      </c>
      <c r="I54" s="104">
        <v>2.72</v>
      </c>
      <c r="J54" s="104">
        <v>2.68</v>
      </c>
      <c r="K54" s="104">
        <v>0.0</v>
      </c>
      <c r="L54" s="106">
        <v>0.0074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60</v>
      </c>
      <c r="B55" s="1" t="str">
        <f t="shared" si="1"/>
        <v>Jan 03, 2024</v>
      </c>
      <c r="C55" s="1">
        <f t="shared" si="2"/>
        <v>2.71</v>
      </c>
      <c r="D55" s="3">
        <f t="shared" si="4"/>
        <v>-0.02166064982</v>
      </c>
      <c r="E55" s="1">
        <f t="shared" si="5"/>
        <v>50</v>
      </c>
      <c r="F55" s="104" t="s">
        <v>110</v>
      </c>
      <c r="G55" s="117">
        <v>2.7</v>
      </c>
      <c r="H55" s="104">
        <v>2.74</v>
      </c>
      <c r="I55" s="104">
        <v>2.74</v>
      </c>
      <c r="J55" s="104">
        <v>2.68</v>
      </c>
      <c r="K55" s="104">
        <v>0.0</v>
      </c>
      <c r="L55" s="108">
        <v>-0.0146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59</v>
      </c>
      <c r="B56" s="1" t="str">
        <f t="shared" si="1"/>
        <v>Jan 04, 2024</v>
      </c>
      <c r="C56" s="1">
        <f t="shared" si="2"/>
        <v>2.7</v>
      </c>
      <c r="D56" s="3">
        <f t="shared" si="4"/>
        <v>-0.0036900369</v>
      </c>
      <c r="E56" s="1">
        <f t="shared" si="5"/>
        <v>51</v>
      </c>
      <c r="F56" s="104" t="s">
        <v>111</v>
      </c>
      <c r="G56" s="117">
        <v>2.74</v>
      </c>
      <c r="H56" s="104">
        <v>2.78</v>
      </c>
      <c r="I56" s="104">
        <v>2.78</v>
      </c>
      <c r="J56" s="104">
        <v>2.72</v>
      </c>
      <c r="K56" s="104">
        <v>0.0</v>
      </c>
      <c r="L56" s="108">
        <v>-0.0144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58</v>
      </c>
      <c r="B57" s="1" t="str">
        <f t="shared" si="1"/>
        <v>Jan 05, 2024</v>
      </c>
      <c r="C57" s="1">
        <f t="shared" si="2"/>
        <v>2.73</v>
      </c>
      <c r="D57" s="3">
        <f t="shared" si="4"/>
        <v>0.01111111111</v>
      </c>
      <c r="E57" s="1">
        <f t="shared" si="5"/>
        <v>52</v>
      </c>
      <c r="F57" s="104" t="s">
        <v>112</v>
      </c>
      <c r="G57" s="117">
        <v>2.78</v>
      </c>
      <c r="H57" s="104">
        <v>2.78</v>
      </c>
      <c r="I57" s="104">
        <v>2.83</v>
      </c>
      <c r="J57" s="104">
        <v>2.77</v>
      </c>
      <c r="K57" s="104">
        <v>0.0</v>
      </c>
      <c r="L57" s="108">
        <v>0.0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57</v>
      </c>
      <c r="B58" s="1" t="str">
        <f t="shared" si="1"/>
        <v>Jan 08, 2024</v>
      </c>
      <c r="C58" s="1">
        <f t="shared" si="2"/>
        <v>2.79</v>
      </c>
      <c r="D58" s="3">
        <f t="shared" si="4"/>
        <v>0.02197802198</v>
      </c>
      <c r="E58" s="1">
        <f t="shared" si="5"/>
        <v>53</v>
      </c>
      <c r="F58" s="104" t="s">
        <v>113</v>
      </c>
      <c r="G58" s="117">
        <v>2.78</v>
      </c>
      <c r="H58" s="104">
        <v>2.78</v>
      </c>
      <c r="I58" s="104">
        <v>2.83</v>
      </c>
      <c r="J58" s="104">
        <v>2.77</v>
      </c>
      <c r="K58" s="104">
        <v>0.0</v>
      </c>
      <c r="L58" s="108">
        <v>0.0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56</v>
      </c>
      <c r="B59" s="1" t="str">
        <f t="shared" si="1"/>
        <v>Jan 09, 2024</v>
      </c>
      <c r="C59" s="1">
        <f t="shared" si="2"/>
        <v>2.77</v>
      </c>
      <c r="D59" s="3">
        <f t="shared" si="4"/>
        <v>-0.007168458781</v>
      </c>
      <c r="E59" s="1">
        <f t="shared" si="5"/>
        <v>54</v>
      </c>
      <c r="F59" s="104" t="s">
        <v>114</v>
      </c>
      <c r="G59" s="117">
        <v>2.78</v>
      </c>
      <c r="H59" s="104">
        <v>2.8</v>
      </c>
      <c r="I59" s="104">
        <v>2.8</v>
      </c>
      <c r="J59" s="104">
        <v>2.74</v>
      </c>
      <c r="K59" s="104">
        <v>0.0</v>
      </c>
      <c r="L59" s="108">
        <v>-0.0071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55</v>
      </c>
      <c r="B60" s="1" t="str">
        <f t="shared" si="1"/>
        <v>Jan 10, 2024</v>
      </c>
      <c r="C60" s="1">
        <f t="shared" si="2"/>
        <v>2.8</v>
      </c>
      <c r="D60" s="3">
        <f t="shared" si="4"/>
        <v>0.01083032491</v>
      </c>
      <c r="E60" s="1">
        <f t="shared" si="5"/>
        <v>55</v>
      </c>
      <c r="F60" s="104" t="s">
        <v>115</v>
      </c>
      <c r="G60" s="118">
        <v>2.8</v>
      </c>
      <c r="H60" s="104">
        <v>2.77</v>
      </c>
      <c r="I60" s="104">
        <v>2.8</v>
      </c>
      <c r="J60" s="104">
        <v>2.77</v>
      </c>
      <c r="K60" s="104">
        <v>0.0</v>
      </c>
      <c r="L60" s="106">
        <v>0.0108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54</v>
      </c>
      <c r="B61" s="1" t="str">
        <f t="shared" si="1"/>
        <v>Jan 11, 2024</v>
      </c>
      <c r="C61" s="1">
        <f t="shared" si="2"/>
        <v>2.78</v>
      </c>
      <c r="D61" s="3">
        <f t="shared" si="4"/>
        <v>-0.007142857143</v>
      </c>
      <c r="E61" s="1">
        <f t="shared" si="5"/>
        <v>56</v>
      </c>
      <c r="F61" s="104" t="s">
        <v>116</v>
      </c>
      <c r="G61" s="117">
        <v>2.77</v>
      </c>
      <c r="H61" s="104">
        <v>2.79</v>
      </c>
      <c r="I61" s="104">
        <v>2.79</v>
      </c>
      <c r="J61" s="104">
        <v>2.75</v>
      </c>
      <c r="K61" s="104">
        <v>0.0</v>
      </c>
      <c r="L61" s="108">
        <v>-0.0072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53</v>
      </c>
      <c r="B62" s="1" t="str">
        <f t="shared" si="1"/>
        <v>Jan 12, 2024</v>
      </c>
      <c r="C62" s="1">
        <f t="shared" si="2"/>
        <v>2.78</v>
      </c>
      <c r="D62" s="3">
        <f t="shared" si="4"/>
        <v>0</v>
      </c>
      <c r="E62" s="1">
        <f t="shared" si="5"/>
        <v>57</v>
      </c>
      <c r="F62" s="104" t="s">
        <v>117</v>
      </c>
      <c r="G62" s="118">
        <v>2.79</v>
      </c>
      <c r="H62" s="104">
        <v>2.73</v>
      </c>
      <c r="I62" s="104">
        <v>2.79</v>
      </c>
      <c r="J62" s="104">
        <v>2.72</v>
      </c>
      <c r="K62" s="104">
        <v>0.0</v>
      </c>
      <c r="L62" s="106">
        <v>0.022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52</v>
      </c>
      <c r="B63" s="1" t="str">
        <f t="shared" si="1"/>
        <v>Jan 15, 2024</v>
      </c>
      <c r="C63" s="1">
        <f t="shared" si="2"/>
        <v>2.78</v>
      </c>
      <c r="D63" s="3">
        <f t="shared" si="4"/>
        <v>0</v>
      </c>
      <c r="E63" s="1">
        <f t="shared" si="5"/>
        <v>58</v>
      </c>
      <c r="F63" s="104" t="s">
        <v>118</v>
      </c>
      <c r="G63" s="118">
        <v>2.73</v>
      </c>
      <c r="H63" s="104">
        <v>2.7</v>
      </c>
      <c r="I63" s="104">
        <v>2.75</v>
      </c>
      <c r="J63" s="104">
        <v>2.68</v>
      </c>
      <c r="K63" s="104">
        <v>0.0</v>
      </c>
      <c r="L63" s="106">
        <v>0.0111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51</v>
      </c>
      <c r="B64" s="1" t="str">
        <f t="shared" si="1"/>
        <v>Jan 16, 2024</v>
      </c>
      <c r="C64" s="1">
        <f t="shared" si="2"/>
        <v>2.74</v>
      </c>
      <c r="D64" s="3">
        <f t="shared" si="4"/>
        <v>-0.01438848921</v>
      </c>
      <c r="E64" s="1">
        <f t="shared" si="5"/>
        <v>59</v>
      </c>
      <c r="F64" s="104" t="s">
        <v>119</v>
      </c>
      <c r="G64" s="117">
        <v>2.7</v>
      </c>
      <c r="H64" s="104">
        <v>2.71</v>
      </c>
      <c r="I64" s="104">
        <v>2.73</v>
      </c>
      <c r="J64" s="104">
        <v>2.7</v>
      </c>
      <c r="K64" s="104">
        <v>0.0</v>
      </c>
      <c r="L64" s="108">
        <v>-0.0037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50</v>
      </c>
      <c r="B65" s="1" t="str">
        <f t="shared" si="1"/>
        <v>Jan 17, 2024</v>
      </c>
      <c r="C65" s="1">
        <f t="shared" si="2"/>
        <v>2.7</v>
      </c>
      <c r="D65" s="3">
        <f t="shared" si="4"/>
        <v>-0.01459854015</v>
      </c>
      <c r="E65" s="1">
        <f t="shared" si="5"/>
        <v>60</v>
      </c>
      <c r="F65" s="104" t="s">
        <v>120</v>
      </c>
      <c r="G65" s="117">
        <v>2.71</v>
      </c>
      <c r="H65" s="104">
        <v>2.77</v>
      </c>
      <c r="I65" s="104">
        <v>2.77</v>
      </c>
      <c r="J65" s="104">
        <v>2.68</v>
      </c>
      <c r="K65" s="104">
        <v>0.0</v>
      </c>
      <c r="L65" s="108">
        <v>-0.0217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49</v>
      </c>
      <c r="B66" s="1" t="str">
        <f t="shared" si="1"/>
        <v>Jan 18, 2024</v>
      </c>
      <c r="C66" s="1">
        <f t="shared" si="2"/>
        <v>2.72</v>
      </c>
      <c r="D66" s="3">
        <f t="shared" si="4"/>
        <v>0.007407407407</v>
      </c>
      <c r="E66" s="1">
        <f t="shared" si="5"/>
        <v>61</v>
      </c>
      <c r="F66" s="104" t="s">
        <v>121</v>
      </c>
      <c r="G66" s="117">
        <v>2.77</v>
      </c>
      <c r="H66" s="104">
        <v>2.79</v>
      </c>
      <c r="I66" s="104">
        <v>2.79</v>
      </c>
      <c r="J66" s="104">
        <v>2.75</v>
      </c>
      <c r="K66" s="104">
        <v>0.0</v>
      </c>
      <c r="L66" s="108">
        <v>-0.0072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48</v>
      </c>
      <c r="B67" s="1" t="str">
        <f t="shared" si="1"/>
        <v>Jan 19, 2024</v>
      </c>
      <c r="C67" s="1">
        <f t="shared" si="2"/>
        <v>2.75</v>
      </c>
      <c r="D67" s="3">
        <f t="shared" si="4"/>
        <v>0.01102941176</v>
      </c>
      <c r="E67" s="1">
        <f t="shared" si="5"/>
        <v>62</v>
      </c>
      <c r="F67" s="104" t="s">
        <v>122</v>
      </c>
      <c r="G67" s="117">
        <v>2.79</v>
      </c>
      <c r="H67" s="104">
        <v>2.85</v>
      </c>
      <c r="I67" s="104">
        <v>2.85</v>
      </c>
      <c r="J67" s="104">
        <v>2.79</v>
      </c>
      <c r="K67" s="104">
        <v>0.0</v>
      </c>
      <c r="L67" s="108">
        <v>0.0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47</v>
      </c>
      <c r="B68" s="1" t="str">
        <f t="shared" si="1"/>
        <v>Jan 22, 2024</v>
      </c>
      <c r="C68" s="1">
        <f t="shared" si="2"/>
        <v>2.74</v>
      </c>
      <c r="D68" s="3">
        <f t="shared" si="4"/>
        <v>-0.003636363636</v>
      </c>
      <c r="E68" s="1">
        <f t="shared" si="5"/>
        <v>63</v>
      </c>
      <c r="F68" s="104" t="s">
        <v>123</v>
      </c>
      <c r="G68" s="117">
        <v>2.79</v>
      </c>
      <c r="H68" s="104">
        <v>2.85</v>
      </c>
      <c r="I68" s="104">
        <v>2.85</v>
      </c>
      <c r="J68" s="104">
        <v>2.79</v>
      </c>
      <c r="K68" s="104">
        <v>0.0</v>
      </c>
      <c r="L68" s="108">
        <v>-0.0211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46</v>
      </c>
      <c r="B69" s="1" t="str">
        <f t="shared" si="1"/>
        <v>Jan 23, 2024</v>
      </c>
      <c r="C69" s="1">
        <f t="shared" si="2"/>
        <v>2.75</v>
      </c>
      <c r="D69" s="3">
        <f t="shared" si="4"/>
        <v>0.003649635036</v>
      </c>
      <c r="E69" s="1">
        <f t="shared" si="5"/>
        <v>64</v>
      </c>
      <c r="F69" s="104" t="s">
        <v>124</v>
      </c>
      <c r="G69" s="117">
        <v>2.85</v>
      </c>
      <c r="H69" s="104">
        <v>2.93</v>
      </c>
      <c r="I69" s="104">
        <v>2.93</v>
      </c>
      <c r="J69" s="104">
        <v>2.85</v>
      </c>
      <c r="K69" s="104">
        <v>0.0</v>
      </c>
      <c r="L69" s="108">
        <v>-0.0273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45</v>
      </c>
      <c r="B70" s="1" t="str">
        <f t="shared" si="1"/>
        <v>Jan 24, 2024</v>
      </c>
      <c r="C70" s="1">
        <f t="shared" si="2"/>
        <v>2.74</v>
      </c>
      <c r="D70" s="3">
        <f t="shared" si="4"/>
        <v>-0.003636363636</v>
      </c>
      <c r="E70" s="1">
        <f t="shared" si="5"/>
        <v>65</v>
      </c>
      <c r="F70" s="104" t="s">
        <v>125</v>
      </c>
      <c r="G70" s="117">
        <v>2.93</v>
      </c>
      <c r="H70" s="104">
        <v>2.93</v>
      </c>
      <c r="I70" s="104">
        <v>2.94</v>
      </c>
      <c r="J70" s="104">
        <v>2.92</v>
      </c>
      <c r="K70" s="104">
        <v>0.0</v>
      </c>
      <c r="L70" s="108">
        <v>0.0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44</v>
      </c>
      <c r="B71" s="1" t="str">
        <f t="shared" si="1"/>
        <v>Jan 25, 2024</v>
      </c>
      <c r="C71" s="1">
        <f t="shared" si="2"/>
        <v>2.76</v>
      </c>
      <c r="D71" s="3">
        <f t="shared" si="4"/>
        <v>0.007299270073</v>
      </c>
      <c r="E71" s="1">
        <f t="shared" si="5"/>
        <v>66</v>
      </c>
      <c r="F71" s="104" t="s">
        <v>126</v>
      </c>
      <c r="G71" s="118">
        <v>2.93</v>
      </c>
      <c r="H71" s="104">
        <v>2.89</v>
      </c>
      <c r="I71" s="104">
        <v>2.94</v>
      </c>
      <c r="J71" s="104">
        <v>2.89</v>
      </c>
      <c r="K71" s="104">
        <v>0.0</v>
      </c>
      <c r="L71" s="106">
        <v>0.0138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43</v>
      </c>
      <c r="B72" s="1" t="str">
        <f t="shared" si="1"/>
        <v>Jan 26, 2024</v>
      </c>
      <c r="C72" s="1">
        <f t="shared" si="2"/>
        <v>2.77</v>
      </c>
      <c r="D72" s="3">
        <f t="shared" si="4"/>
        <v>0.003623188406</v>
      </c>
      <c r="E72" s="1">
        <f t="shared" si="5"/>
        <v>67</v>
      </c>
      <c r="F72" s="104" t="s">
        <v>177</v>
      </c>
      <c r="G72" s="117">
        <v>2.89</v>
      </c>
      <c r="H72" s="104">
        <v>2.9</v>
      </c>
      <c r="I72" s="104">
        <v>2.92</v>
      </c>
      <c r="J72" s="104">
        <v>2.88</v>
      </c>
      <c r="K72" s="104">
        <v>0.0</v>
      </c>
      <c r="L72" s="108">
        <v>0.0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42</v>
      </c>
      <c r="B73" s="1" t="str">
        <f t="shared" si="1"/>
        <v>Jan 29, 2024</v>
      </c>
      <c r="C73" s="1">
        <f t="shared" si="2"/>
        <v>2.81</v>
      </c>
      <c r="D73" s="3">
        <f t="shared" si="4"/>
        <v>0.01444043321</v>
      </c>
      <c r="E73" s="1">
        <f t="shared" si="5"/>
        <v>68</v>
      </c>
      <c r="F73" s="104" t="s">
        <v>127</v>
      </c>
      <c r="G73" s="117">
        <v>2.89</v>
      </c>
      <c r="H73" s="104">
        <v>2.9</v>
      </c>
      <c r="I73" s="104">
        <v>2.92</v>
      </c>
      <c r="J73" s="104">
        <v>2.88</v>
      </c>
      <c r="K73" s="104">
        <v>0.0</v>
      </c>
      <c r="L73" s="108">
        <v>-0.0034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41</v>
      </c>
      <c r="B74" s="1" t="str">
        <f t="shared" si="1"/>
        <v>Jan 30, 2024</v>
      </c>
      <c r="C74" s="1">
        <f t="shared" si="2"/>
        <v>2.75</v>
      </c>
      <c r="D74" s="3">
        <f t="shared" si="4"/>
        <v>-0.02135231317</v>
      </c>
      <c r="E74" s="1">
        <f t="shared" si="5"/>
        <v>69</v>
      </c>
      <c r="F74" s="104" t="s">
        <v>128</v>
      </c>
      <c r="G74" s="118">
        <v>2.9</v>
      </c>
      <c r="H74" s="104">
        <v>2.85</v>
      </c>
      <c r="I74" s="104">
        <v>2.9</v>
      </c>
      <c r="J74" s="104">
        <v>2.85</v>
      </c>
      <c r="K74" s="104">
        <v>0.0</v>
      </c>
      <c r="L74" s="106">
        <v>0.0175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40</v>
      </c>
      <c r="B75" s="1" t="str">
        <f t="shared" si="1"/>
        <v>Jan 31, 2024</v>
      </c>
      <c r="C75" s="1">
        <f t="shared" si="2"/>
        <v>2.67</v>
      </c>
      <c r="D75" s="3">
        <f t="shared" si="4"/>
        <v>-0.02909090909</v>
      </c>
      <c r="E75" s="1">
        <f t="shared" si="5"/>
        <v>70</v>
      </c>
      <c r="F75" s="104" t="s">
        <v>129</v>
      </c>
      <c r="G75" s="117">
        <v>2.85</v>
      </c>
      <c r="H75" s="104">
        <v>2.89</v>
      </c>
      <c r="I75" s="104">
        <v>2.92</v>
      </c>
      <c r="J75" s="104">
        <v>2.85</v>
      </c>
      <c r="K75" s="104">
        <v>0.0</v>
      </c>
      <c r="L75" s="108">
        <v>-0.0138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39</v>
      </c>
      <c r="B76" s="1" t="str">
        <f t="shared" si="1"/>
        <v>Feb 01, 2024</v>
      </c>
      <c r="C76" s="1">
        <f t="shared" si="2"/>
        <v>2.7</v>
      </c>
      <c r="D76" s="3">
        <f t="shared" si="4"/>
        <v>0.01123595506</v>
      </c>
      <c r="E76" s="1">
        <f t="shared" si="5"/>
        <v>71</v>
      </c>
      <c r="F76" s="104" t="s">
        <v>130</v>
      </c>
      <c r="G76" s="118">
        <v>2.89</v>
      </c>
      <c r="H76" s="104">
        <v>2.84</v>
      </c>
      <c r="I76" s="104">
        <v>2.89</v>
      </c>
      <c r="J76" s="104">
        <v>2.84</v>
      </c>
      <c r="K76" s="104">
        <v>0.0</v>
      </c>
      <c r="L76" s="106">
        <v>0.0176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38</v>
      </c>
      <c r="B77" s="1" t="str">
        <f t="shared" si="1"/>
        <v>Feb 02, 2024</v>
      </c>
      <c r="C77" s="1">
        <f t="shared" si="2"/>
        <v>2.65</v>
      </c>
      <c r="D77" s="3">
        <f t="shared" si="4"/>
        <v>-0.01851851852</v>
      </c>
      <c r="E77" s="1">
        <f t="shared" si="5"/>
        <v>72</v>
      </c>
      <c r="F77" s="104" t="s">
        <v>131</v>
      </c>
      <c r="G77" s="117">
        <v>2.84</v>
      </c>
      <c r="H77" s="104">
        <v>2.85</v>
      </c>
      <c r="I77" s="104">
        <v>2.87</v>
      </c>
      <c r="J77" s="104">
        <v>2.84</v>
      </c>
      <c r="K77" s="104">
        <v>0.0</v>
      </c>
      <c r="L77" s="108">
        <v>-0.0035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37</v>
      </c>
      <c r="B78" s="1" t="str">
        <f t="shared" si="1"/>
        <v>Feb 05, 2024</v>
      </c>
      <c r="C78" s="1">
        <f t="shared" si="2"/>
        <v>2.61</v>
      </c>
      <c r="D78" s="3">
        <f t="shared" si="4"/>
        <v>-0.01509433962</v>
      </c>
      <c r="E78" s="1">
        <f t="shared" si="5"/>
        <v>73</v>
      </c>
      <c r="F78" s="104" t="s">
        <v>132</v>
      </c>
      <c r="G78" s="117">
        <v>2.85</v>
      </c>
      <c r="H78" s="104">
        <v>2.9</v>
      </c>
      <c r="I78" s="104">
        <v>2.9</v>
      </c>
      <c r="J78" s="104">
        <v>2.84</v>
      </c>
      <c r="K78" s="104">
        <v>0.0</v>
      </c>
      <c r="L78" s="108">
        <v>-0.0172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36</v>
      </c>
      <c r="B79" s="1" t="str">
        <f t="shared" si="1"/>
        <v>Feb 06, 2024</v>
      </c>
      <c r="C79" s="1">
        <f t="shared" si="2"/>
        <v>2.61</v>
      </c>
      <c r="D79" s="3">
        <f t="shared" si="4"/>
        <v>0</v>
      </c>
      <c r="E79" s="1">
        <f t="shared" si="5"/>
        <v>74</v>
      </c>
      <c r="F79" s="104" t="s">
        <v>133</v>
      </c>
      <c r="G79" s="118">
        <v>2.9</v>
      </c>
      <c r="H79" s="104">
        <v>2.81</v>
      </c>
      <c r="I79" s="104">
        <v>2.92</v>
      </c>
      <c r="J79" s="104">
        <v>2.81</v>
      </c>
      <c r="K79" s="104">
        <v>0.0</v>
      </c>
      <c r="L79" s="106">
        <v>0.032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35</v>
      </c>
      <c r="B80" s="1" t="str">
        <f t="shared" si="1"/>
        <v>Feb 07, 2024</v>
      </c>
      <c r="C80" s="1">
        <f t="shared" si="2"/>
        <v>2.54</v>
      </c>
      <c r="D80" s="3">
        <f t="shared" si="4"/>
        <v>-0.02681992337</v>
      </c>
      <c r="E80" s="1">
        <f t="shared" si="5"/>
        <v>75</v>
      </c>
      <c r="F80" s="104" t="s">
        <v>134</v>
      </c>
      <c r="G80" s="118">
        <v>2.81</v>
      </c>
      <c r="H80" s="104">
        <v>2.7</v>
      </c>
      <c r="I80" s="104">
        <v>2.82</v>
      </c>
      <c r="J80" s="104">
        <v>2.69</v>
      </c>
      <c r="K80" s="104">
        <v>0.0</v>
      </c>
      <c r="L80" s="106">
        <v>0.0407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34</v>
      </c>
      <c r="B81" s="1" t="str">
        <f t="shared" si="1"/>
        <v>Feb 08, 2024</v>
      </c>
      <c r="C81" s="1">
        <f t="shared" si="2"/>
        <v>2.54</v>
      </c>
      <c r="D81" s="3">
        <f t="shared" si="4"/>
        <v>0</v>
      </c>
      <c r="E81" s="1">
        <f t="shared" si="5"/>
        <v>76</v>
      </c>
      <c r="F81" s="104" t="s">
        <v>135</v>
      </c>
      <c r="G81" s="118">
        <v>2.7</v>
      </c>
      <c r="H81" s="104">
        <v>2.68</v>
      </c>
      <c r="I81" s="104">
        <v>2.72</v>
      </c>
      <c r="J81" s="104">
        <v>2.67</v>
      </c>
      <c r="K81" s="104">
        <v>0.0</v>
      </c>
      <c r="L81" s="106">
        <v>0.0075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33</v>
      </c>
      <c r="B82" s="1" t="str">
        <f t="shared" si="1"/>
        <v>Feb 09, 2024</v>
      </c>
      <c r="C82" s="1">
        <f t="shared" si="2"/>
        <v>2.57</v>
      </c>
      <c r="D82" s="3">
        <f t="shared" si="4"/>
        <v>0.01181102362</v>
      </c>
      <c r="E82" s="1">
        <f t="shared" si="5"/>
        <v>77</v>
      </c>
      <c r="F82" s="104" t="s">
        <v>136</v>
      </c>
      <c r="G82" s="117">
        <v>2.68</v>
      </c>
      <c r="H82" s="104">
        <v>2.68</v>
      </c>
      <c r="I82" s="104">
        <v>2.69</v>
      </c>
      <c r="J82" s="104">
        <v>2.67</v>
      </c>
      <c r="K82" s="104">
        <v>0.0</v>
      </c>
      <c r="L82" s="108">
        <v>0.0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32</v>
      </c>
      <c r="B83" s="1" t="str">
        <f t="shared" si="1"/>
        <v>Feb 12, 2024</v>
      </c>
      <c r="C83" s="1">
        <f t="shared" si="2"/>
        <v>2.6</v>
      </c>
      <c r="D83" s="3">
        <f t="shared" si="4"/>
        <v>0.01167315175</v>
      </c>
      <c r="E83" s="1">
        <f t="shared" si="5"/>
        <v>78</v>
      </c>
      <c r="F83" s="104" t="s">
        <v>137</v>
      </c>
      <c r="G83" s="118">
        <v>2.68</v>
      </c>
      <c r="H83" s="104">
        <v>2.66</v>
      </c>
      <c r="I83" s="104">
        <v>2.7</v>
      </c>
      <c r="J83" s="104">
        <v>2.65</v>
      </c>
      <c r="K83" s="104">
        <v>0.0</v>
      </c>
      <c r="L83" s="106">
        <v>0.0075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31</v>
      </c>
      <c r="B84" s="1" t="str">
        <f t="shared" si="1"/>
        <v>Feb 13, 2024</v>
      </c>
      <c r="C84" s="1">
        <f t="shared" si="2"/>
        <v>2.5</v>
      </c>
      <c r="D84" s="3">
        <f t="shared" si="4"/>
        <v>-0.03846153846</v>
      </c>
      <c r="E84" s="1">
        <f t="shared" si="5"/>
        <v>79</v>
      </c>
      <c r="F84" s="104" t="s">
        <v>138</v>
      </c>
      <c r="G84" s="118">
        <v>2.66</v>
      </c>
      <c r="H84" s="104">
        <v>2.63</v>
      </c>
      <c r="I84" s="104">
        <v>2.66</v>
      </c>
      <c r="J84" s="104">
        <v>2.62</v>
      </c>
      <c r="K84" s="104">
        <v>0.0</v>
      </c>
      <c r="L84" s="106">
        <v>0.0114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30</v>
      </c>
      <c r="B85" s="1" t="str">
        <f t="shared" si="1"/>
        <v>Feb 14, 2024</v>
      </c>
      <c r="C85" s="1">
        <f t="shared" si="2"/>
        <v>2.54</v>
      </c>
      <c r="D85" s="3">
        <f t="shared" si="4"/>
        <v>0.016</v>
      </c>
      <c r="E85" s="1">
        <f t="shared" si="5"/>
        <v>80</v>
      </c>
      <c r="F85" s="104" t="s">
        <v>139</v>
      </c>
      <c r="G85" s="117">
        <v>2.63</v>
      </c>
      <c r="H85" s="104">
        <v>2.7</v>
      </c>
      <c r="I85" s="104">
        <v>2.73</v>
      </c>
      <c r="J85" s="104">
        <v>2.63</v>
      </c>
      <c r="K85" s="104">
        <v>0.0</v>
      </c>
      <c r="L85" s="108">
        <v>-0.0259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29</v>
      </c>
      <c r="B86" s="1" t="str">
        <f t="shared" si="1"/>
        <v>Feb 15, 2024</v>
      </c>
      <c r="C86" s="1">
        <f t="shared" si="2"/>
        <v>2.62</v>
      </c>
      <c r="D86" s="3">
        <f t="shared" si="4"/>
        <v>0.03149606299</v>
      </c>
      <c r="E86" s="1">
        <f t="shared" si="5"/>
        <v>81</v>
      </c>
      <c r="F86" s="104" t="s">
        <v>140</v>
      </c>
      <c r="G86" s="117">
        <v>2.7</v>
      </c>
      <c r="H86" s="104">
        <v>2.72</v>
      </c>
      <c r="I86" s="104">
        <v>2.72</v>
      </c>
      <c r="J86" s="104">
        <v>2.69</v>
      </c>
      <c r="K86" s="104">
        <v>0.0</v>
      </c>
      <c r="L86" s="108">
        <v>-0.0074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28</v>
      </c>
      <c r="B87" s="1" t="str">
        <f t="shared" si="1"/>
        <v>Feb 16, 2024</v>
      </c>
      <c r="C87" s="1">
        <f t="shared" si="2"/>
        <v>2.61</v>
      </c>
      <c r="D87" s="3">
        <f t="shared" si="4"/>
        <v>-0.003816793893</v>
      </c>
      <c r="E87" s="1">
        <f t="shared" si="5"/>
        <v>82</v>
      </c>
      <c r="F87" s="104" t="s">
        <v>141</v>
      </c>
      <c r="G87" s="118">
        <v>2.72</v>
      </c>
      <c r="H87" s="104">
        <v>2.71</v>
      </c>
      <c r="I87" s="104">
        <v>2.73</v>
      </c>
      <c r="J87" s="104">
        <v>2.69</v>
      </c>
      <c r="K87" s="104">
        <v>0.0</v>
      </c>
      <c r="L87" s="106">
        <v>0.0037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27</v>
      </c>
      <c r="B88" s="1" t="str">
        <f t="shared" si="1"/>
        <v>Feb 19, 2024</v>
      </c>
      <c r="C88" s="1">
        <f t="shared" si="2"/>
        <v>2.61</v>
      </c>
      <c r="D88" s="3">
        <f t="shared" si="4"/>
        <v>0</v>
      </c>
      <c r="E88" s="1">
        <f t="shared" si="5"/>
        <v>83</v>
      </c>
      <c r="F88" s="104" t="s">
        <v>142</v>
      </c>
      <c r="G88" s="118">
        <v>2.71</v>
      </c>
      <c r="H88" s="104">
        <v>2.63</v>
      </c>
      <c r="I88" s="104">
        <v>2.71</v>
      </c>
      <c r="J88" s="104">
        <v>2.62</v>
      </c>
      <c r="K88" s="104">
        <v>0.0</v>
      </c>
      <c r="L88" s="106">
        <v>0.0304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26</v>
      </c>
      <c r="B89" s="1" t="str">
        <f t="shared" si="1"/>
        <v>Feb 20, 2024</v>
      </c>
      <c r="C89" s="1">
        <f t="shared" si="2"/>
        <v>2.59</v>
      </c>
      <c r="D89" s="3">
        <f t="shared" si="4"/>
        <v>-0.007662835249</v>
      </c>
      <c r="E89" s="1">
        <f t="shared" si="5"/>
        <v>84</v>
      </c>
      <c r="F89" s="104" t="s">
        <v>143</v>
      </c>
      <c r="G89" s="117">
        <v>2.63</v>
      </c>
      <c r="H89" s="104">
        <v>2.63</v>
      </c>
      <c r="I89" s="104">
        <v>2.64</v>
      </c>
      <c r="J89" s="104">
        <v>2.62</v>
      </c>
      <c r="K89" s="104">
        <v>0.0</v>
      </c>
      <c r="L89" s="108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25</v>
      </c>
      <c r="B90" s="1" t="str">
        <f t="shared" si="1"/>
        <v>Feb 21, 2024</v>
      </c>
      <c r="C90" s="1">
        <f t="shared" si="2"/>
        <v>2.59</v>
      </c>
      <c r="D90" s="3">
        <f t="shared" si="4"/>
        <v>0</v>
      </c>
      <c r="E90" s="1">
        <f t="shared" si="5"/>
        <v>85</v>
      </c>
      <c r="F90" s="104" t="s">
        <v>144</v>
      </c>
      <c r="G90" s="118">
        <v>2.63</v>
      </c>
      <c r="H90" s="104">
        <v>2.59</v>
      </c>
      <c r="I90" s="104">
        <v>2.65</v>
      </c>
      <c r="J90" s="104">
        <v>2.59</v>
      </c>
      <c r="K90" s="104">
        <v>0.0</v>
      </c>
      <c r="L90" s="106">
        <v>0.0154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24</v>
      </c>
      <c r="B91" s="1" t="str">
        <f t="shared" si="1"/>
        <v>Feb 22, 2024</v>
      </c>
      <c r="C91" s="1">
        <f t="shared" si="2"/>
        <v>2.6</v>
      </c>
      <c r="D91" s="3">
        <f t="shared" si="4"/>
        <v>0.003861003861</v>
      </c>
      <c r="E91" s="1">
        <f t="shared" si="5"/>
        <v>86</v>
      </c>
      <c r="F91" s="104" t="s">
        <v>145</v>
      </c>
      <c r="G91" s="118">
        <v>2.59</v>
      </c>
      <c r="H91" s="104">
        <v>2.57</v>
      </c>
      <c r="I91" s="104">
        <v>2.6</v>
      </c>
      <c r="J91" s="104">
        <v>2.54</v>
      </c>
      <c r="K91" s="104">
        <v>0.0</v>
      </c>
      <c r="L91" s="106">
        <v>0.0078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23</v>
      </c>
      <c r="B92" s="1" t="str">
        <f t="shared" si="1"/>
        <v>Feb 23, 2024</v>
      </c>
      <c r="C92" s="1">
        <f t="shared" si="2"/>
        <v>2.61</v>
      </c>
      <c r="D92" s="3">
        <f t="shared" si="4"/>
        <v>0.003846153846</v>
      </c>
      <c r="E92" s="1">
        <f t="shared" si="5"/>
        <v>87</v>
      </c>
      <c r="F92" s="104" t="s">
        <v>178</v>
      </c>
      <c r="G92" s="117">
        <v>2.57</v>
      </c>
      <c r="H92" s="104">
        <v>2.59</v>
      </c>
      <c r="I92" s="104">
        <v>2.59</v>
      </c>
      <c r="J92" s="104">
        <v>2.56</v>
      </c>
      <c r="K92" s="104">
        <v>0.0</v>
      </c>
      <c r="L92" s="108">
        <v>-0.0077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22</v>
      </c>
      <c r="B93" s="1" t="str">
        <f t="shared" si="1"/>
        <v>Feb 26, 2024</v>
      </c>
      <c r="C93" s="1">
        <f t="shared" si="2"/>
        <v>2.59</v>
      </c>
      <c r="D93" s="3">
        <f t="shared" si="4"/>
        <v>-0.007662835249</v>
      </c>
      <c r="E93" s="1">
        <f t="shared" si="5"/>
        <v>88</v>
      </c>
      <c r="F93" s="104" t="s">
        <v>146</v>
      </c>
      <c r="G93" s="117">
        <v>2.59</v>
      </c>
      <c r="H93" s="104">
        <v>2.6</v>
      </c>
      <c r="I93" s="104">
        <v>2.6</v>
      </c>
      <c r="J93" s="104">
        <v>2.58</v>
      </c>
      <c r="K93" s="104">
        <v>0.0</v>
      </c>
      <c r="L93" s="108">
        <v>-0.0038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21</v>
      </c>
      <c r="B94" s="1" t="str">
        <f t="shared" si="1"/>
        <v>Feb 27, 2024</v>
      </c>
      <c r="C94" s="1">
        <f t="shared" si="2"/>
        <v>2.6</v>
      </c>
      <c r="D94" s="3">
        <f t="shared" si="4"/>
        <v>0.003861003861</v>
      </c>
      <c r="E94" s="1">
        <f t="shared" si="5"/>
        <v>89</v>
      </c>
      <c r="F94" s="104" t="s">
        <v>147</v>
      </c>
      <c r="G94" s="117">
        <v>2.6</v>
      </c>
      <c r="H94" s="104">
        <v>2.59</v>
      </c>
      <c r="I94" s="104">
        <v>2.61</v>
      </c>
      <c r="J94" s="104">
        <v>2.59</v>
      </c>
      <c r="K94" s="104">
        <v>0.0</v>
      </c>
      <c r="L94" s="108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20</v>
      </c>
      <c r="B95" s="1" t="str">
        <f t="shared" si="1"/>
        <v>Feb 28, 2024</v>
      </c>
      <c r="C95" s="1">
        <f t="shared" si="2"/>
        <v>2.57</v>
      </c>
      <c r="D95" s="3">
        <f t="shared" si="4"/>
        <v>-0.01153846154</v>
      </c>
      <c r="E95" s="1">
        <f t="shared" si="5"/>
        <v>90</v>
      </c>
      <c r="F95" s="104" t="s">
        <v>148</v>
      </c>
      <c r="G95" s="118">
        <v>2.6</v>
      </c>
      <c r="H95" s="104">
        <v>2.59</v>
      </c>
      <c r="I95" s="104">
        <v>2.61</v>
      </c>
      <c r="J95" s="104">
        <v>2.59</v>
      </c>
      <c r="K95" s="104">
        <v>0.0</v>
      </c>
      <c r="L95" s="106">
        <v>0.0039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19</v>
      </c>
      <c r="B96" s="1" t="str">
        <f t="shared" si="1"/>
        <v>Feb 29, 2024</v>
      </c>
      <c r="C96" s="1">
        <f t="shared" si="2"/>
        <v>2.64</v>
      </c>
      <c r="D96" s="3">
        <f t="shared" si="4"/>
        <v>0.02723735409</v>
      </c>
      <c r="E96" s="1">
        <f t="shared" si="5"/>
        <v>91</v>
      </c>
      <c r="F96" s="104" t="s">
        <v>149</v>
      </c>
      <c r="G96" s="117">
        <v>2.59</v>
      </c>
      <c r="H96" s="104">
        <v>2.6</v>
      </c>
      <c r="I96" s="104">
        <v>2.6</v>
      </c>
      <c r="J96" s="104">
        <v>2.58</v>
      </c>
      <c r="K96" s="104">
        <v>0.0</v>
      </c>
      <c r="L96" s="108">
        <v>-0.0038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18</v>
      </c>
      <c r="B97" s="1" t="str">
        <f t="shared" si="1"/>
        <v>Mar 01, 2024</v>
      </c>
      <c r="C97" s="1">
        <f t="shared" si="2"/>
        <v>2.65</v>
      </c>
      <c r="D97" s="3">
        <f t="shared" si="4"/>
        <v>0.003787878788</v>
      </c>
      <c r="E97" s="1">
        <f t="shared" si="5"/>
        <v>92</v>
      </c>
      <c r="F97" s="104" t="s">
        <v>150</v>
      </c>
      <c r="G97" s="118">
        <v>2.6</v>
      </c>
      <c r="H97" s="104">
        <v>2.59</v>
      </c>
      <c r="I97" s="104">
        <v>2.62</v>
      </c>
      <c r="J97" s="104">
        <v>2.58</v>
      </c>
      <c r="K97" s="104">
        <v>0.0</v>
      </c>
      <c r="L97" s="106">
        <v>0.0039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17</v>
      </c>
      <c r="B98" s="1" t="str">
        <f t="shared" si="1"/>
        <v>Mar 04, 2024</v>
      </c>
      <c r="C98" s="1">
        <f t="shared" si="2"/>
        <v>2.6</v>
      </c>
      <c r="D98" s="3">
        <f t="shared" si="4"/>
        <v>-0.01886792453</v>
      </c>
      <c r="E98" s="1">
        <f t="shared" si="5"/>
        <v>93</v>
      </c>
      <c r="F98" s="104" t="s">
        <v>151</v>
      </c>
      <c r="G98" s="118">
        <v>2.59</v>
      </c>
      <c r="H98" s="104">
        <v>2.57</v>
      </c>
      <c r="I98" s="104">
        <v>2.61</v>
      </c>
      <c r="J98" s="104">
        <v>2.57</v>
      </c>
      <c r="K98" s="104">
        <v>0.0</v>
      </c>
      <c r="L98" s="106">
        <v>0.0078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16</v>
      </c>
      <c r="B99" s="1" t="str">
        <f t="shared" si="1"/>
        <v>Mar 05, 2024</v>
      </c>
      <c r="C99" s="1">
        <f t="shared" si="2"/>
        <v>2.61</v>
      </c>
      <c r="D99" s="3">
        <f t="shared" si="4"/>
        <v>0.003846153846</v>
      </c>
      <c r="E99" s="1">
        <f t="shared" si="5"/>
        <v>94</v>
      </c>
      <c r="F99" s="104" t="s">
        <v>152</v>
      </c>
      <c r="G99" s="117">
        <v>2.57</v>
      </c>
      <c r="H99" s="104">
        <v>2.63</v>
      </c>
      <c r="I99" s="104">
        <v>2.63</v>
      </c>
      <c r="J99" s="104">
        <v>2.56</v>
      </c>
      <c r="K99" s="104">
        <v>0.0</v>
      </c>
      <c r="L99" s="108">
        <v>-0.0228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15</v>
      </c>
      <c r="B100" s="1" t="str">
        <f t="shared" si="1"/>
        <v>Mar 06, 2024</v>
      </c>
      <c r="C100" s="1">
        <f t="shared" si="2"/>
        <v>2.63</v>
      </c>
      <c r="D100" s="3">
        <f t="shared" si="4"/>
        <v>0.007662835249</v>
      </c>
      <c r="E100" s="1">
        <f t="shared" si="5"/>
        <v>95</v>
      </c>
      <c r="F100" s="104" t="s">
        <v>153</v>
      </c>
      <c r="G100" s="118">
        <v>2.63</v>
      </c>
      <c r="H100" s="104">
        <v>2.6</v>
      </c>
      <c r="I100" s="104">
        <v>2.63</v>
      </c>
      <c r="J100" s="104">
        <v>2.59</v>
      </c>
      <c r="K100" s="104">
        <v>0.0</v>
      </c>
      <c r="L100" s="106">
        <v>0.0115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14</v>
      </c>
      <c r="B101" s="1" t="str">
        <f t="shared" si="1"/>
        <v>Mar 07, 2024</v>
      </c>
      <c r="C101" s="1">
        <f t="shared" si="2"/>
        <v>2.65</v>
      </c>
      <c r="D101" s="3">
        <f t="shared" si="4"/>
        <v>0.007604562738</v>
      </c>
      <c r="E101" s="1">
        <f t="shared" si="5"/>
        <v>96</v>
      </c>
      <c r="F101" s="104" t="s">
        <v>179</v>
      </c>
      <c r="G101" s="118">
        <v>2.6</v>
      </c>
      <c r="H101" s="104">
        <v>2.48</v>
      </c>
      <c r="I101" s="104">
        <v>2.61</v>
      </c>
      <c r="J101" s="104">
        <v>2.48</v>
      </c>
      <c r="K101" s="104">
        <v>0.0</v>
      </c>
      <c r="L101" s="106">
        <v>0.0484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13</v>
      </c>
      <c r="B102" s="1" t="str">
        <f t="shared" si="1"/>
        <v>Mar 08, 2024</v>
      </c>
      <c r="C102" s="1">
        <f t="shared" si="2"/>
        <v>2.66</v>
      </c>
      <c r="D102" s="3">
        <f t="shared" si="4"/>
        <v>0.003773584906</v>
      </c>
      <c r="E102" s="1">
        <f t="shared" si="5"/>
        <v>97</v>
      </c>
      <c r="F102" s="104" t="s">
        <v>154</v>
      </c>
      <c r="G102" s="117">
        <v>2.48</v>
      </c>
      <c r="H102" s="104">
        <v>2.48</v>
      </c>
      <c r="I102" s="104">
        <v>2.49</v>
      </c>
      <c r="J102" s="104">
        <v>2.45</v>
      </c>
      <c r="K102" s="104">
        <v>0.0</v>
      </c>
      <c r="L102" s="108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12</v>
      </c>
      <c r="B103" s="1" t="str">
        <f t="shared" si="1"/>
        <v>Mar 11, 2024</v>
      </c>
      <c r="C103" s="1">
        <f t="shared" si="2"/>
        <v>2.67</v>
      </c>
      <c r="D103" s="3">
        <f t="shared" si="4"/>
        <v>0.003759398496</v>
      </c>
      <c r="E103" s="1">
        <f t="shared" si="5"/>
        <v>98</v>
      </c>
      <c r="F103" s="104" t="s">
        <v>155</v>
      </c>
      <c r="G103" s="118">
        <v>2.48</v>
      </c>
      <c r="H103" s="104">
        <v>2.46</v>
      </c>
      <c r="I103" s="104">
        <v>2.49</v>
      </c>
      <c r="J103" s="104">
        <v>2.46</v>
      </c>
      <c r="K103" s="104">
        <v>0.0</v>
      </c>
      <c r="L103" s="106">
        <v>0.0081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11</v>
      </c>
      <c r="B104" s="1" t="str">
        <f t="shared" si="1"/>
        <v>Mar 12, 2024</v>
      </c>
      <c r="C104" s="1">
        <f t="shared" si="2"/>
        <v>2.68</v>
      </c>
      <c r="D104" s="3">
        <f t="shared" si="4"/>
        <v>0.003745318352</v>
      </c>
      <c r="E104" s="1">
        <f t="shared" si="5"/>
        <v>99</v>
      </c>
      <c r="F104" s="104" t="s">
        <v>156</v>
      </c>
      <c r="G104" s="117">
        <v>2.46</v>
      </c>
      <c r="H104" s="104">
        <v>2.52</v>
      </c>
      <c r="I104" s="104">
        <v>2.55</v>
      </c>
      <c r="J104" s="104">
        <v>2.46</v>
      </c>
      <c r="K104" s="104">
        <v>0.0</v>
      </c>
      <c r="L104" s="108">
        <v>-0.0238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10</v>
      </c>
      <c r="B105" s="1" t="str">
        <f t="shared" si="1"/>
        <v>Mar 13, 2024</v>
      </c>
      <c r="C105" s="1">
        <f t="shared" si="2"/>
        <v>2.69</v>
      </c>
      <c r="D105" s="3">
        <f t="shared" si="4"/>
        <v>0.003731343284</v>
      </c>
      <c r="E105" s="1">
        <f t="shared" si="5"/>
        <v>100</v>
      </c>
      <c r="F105" s="104" t="s">
        <v>157</v>
      </c>
      <c r="G105" s="118">
        <v>2.52</v>
      </c>
      <c r="H105" s="104">
        <v>2.5</v>
      </c>
      <c r="I105" s="104">
        <v>2.52</v>
      </c>
      <c r="J105" s="104">
        <v>2.47</v>
      </c>
      <c r="K105" s="104">
        <v>0.0</v>
      </c>
      <c r="L105" s="106">
        <v>0.008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3"/>
        <v>9</v>
      </c>
      <c r="B106" s="1" t="str">
        <f t="shared" si="1"/>
        <v>Mar 14, 2024</v>
      </c>
      <c r="C106" s="1">
        <f t="shared" si="2"/>
        <v>2.62</v>
      </c>
      <c r="D106" s="3">
        <f t="shared" si="4"/>
        <v>-0.02602230483</v>
      </c>
      <c r="E106" s="1">
        <f t="shared" si="5"/>
        <v>101</v>
      </c>
      <c r="F106" s="104" t="s">
        <v>158</v>
      </c>
      <c r="G106" s="118">
        <v>2.5</v>
      </c>
      <c r="H106" s="104">
        <v>2.48</v>
      </c>
      <c r="I106" s="104">
        <v>2.5</v>
      </c>
      <c r="J106" s="104">
        <v>2.46</v>
      </c>
      <c r="K106" s="104">
        <v>0.0</v>
      </c>
      <c r="L106" s="106">
        <v>0.0081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 t="shared" si="3"/>
        <v>8</v>
      </c>
      <c r="B107" s="1" t="str">
        <f t="shared" si="1"/>
        <v>Mar 15, 2024</v>
      </c>
      <c r="C107" s="1">
        <f t="shared" si="2"/>
        <v>2.65</v>
      </c>
      <c r="D107" s="3">
        <f t="shared" si="4"/>
        <v>0.01145038168</v>
      </c>
      <c r="E107" s="1">
        <f t="shared" si="5"/>
        <v>102</v>
      </c>
      <c r="F107" s="104" t="s">
        <v>159</v>
      </c>
      <c r="G107" s="117">
        <v>2.48</v>
      </c>
      <c r="H107" s="104">
        <v>2.52</v>
      </c>
      <c r="I107" s="104">
        <v>2.52</v>
      </c>
      <c r="J107" s="104">
        <v>2.47</v>
      </c>
      <c r="K107" s="104">
        <v>0.0</v>
      </c>
      <c r="L107" s="108">
        <v>-0.0159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f t="shared" si="3"/>
        <v>7</v>
      </c>
      <c r="B108" s="1" t="str">
        <f t="shared" si="1"/>
        <v>Mar 18, 2024</v>
      </c>
      <c r="C108" s="1">
        <f t="shared" si="2"/>
        <v>2.64</v>
      </c>
      <c r="D108" s="3">
        <f t="shared" si="4"/>
        <v>-0.003773584906</v>
      </c>
      <c r="E108" s="1">
        <f t="shared" si="5"/>
        <v>103</v>
      </c>
      <c r="F108" s="104" t="s">
        <v>160</v>
      </c>
      <c r="G108" s="118">
        <v>2.52</v>
      </c>
      <c r="H108" s="104">
        <v>2.46</v>
      </c>
      <c r="I108" s="104">
        <v>2.56</v>
      </c>
      <c r="J108" s="104">
        <v>2.46</v>
      </c>
      <c r="K108" s="104">
        <v>0.0</v>
      </c>
      <c r="L108" s="106">
        <v>0.0244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f t="shared" si="3"/>
        <v>6</v>
      </c>
      <c r="B109" s="1" t="str">
        <f t="shared" si="1"/>
        <v>Mar 19, 2024</v>
      </c>
      <c r="C109" s="1">
        <f t="shared" si="2"/>
        <v>2.64</v>
      </c>
      <c r="D109" s="3">
        <f t="shared" si="4"/>
        <v>0</v>
      </c>
      <c r="E109" s="1">
        <f t="shared" si="5"/>
        <v>104</v>
      </c>
      <c r="F109" s="104" t="s">
        <v>161</v>
      </c>
      <c r="G109" s="118">
        <v>2.46</v>
      </c>
      <c r="H109" s="104">
        <v>2.37</v>
      </c>
      <c r="I109" s="104">
        <v>2.46</v>
      </c>
      <c r="J109" s="104">
        <v>2.37</v>
      </c>
      <c r="K109" s="104">
        <v>0.0</v>
      </c>
      <c r="L109" s="106">
        <v>0.038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>
        <f t="shared" si="3"/>
        <v>5</v>
      </c>
      <c r="B110" s="1" t="str">
        <f t="shared" si="1"/>
        <v>Mar 20, 2024</v>
      </c>
      <c r="C110" s="1">
        <f t="shared" si="2"/>
        <v>2.69</v>
      </c>
      <c r="D110" s="3">
        <f t="shared" si="4"/>
        <v>0.01893939394</v>
      </c>
      <c r="E110" s="1">
        <f t="shared" si="5"/>
        <v>105</v>
      </c>
      <c r="F110" s="104" t="s">
        <v>162</v>
      </c>
      <c r="G110" s="118">
        <v>2.37</v>
      </c>
      <c r="H110" s="104">
        <v>2.31</v>
      </c>
      <c r="I110" s="104">
        <v>2.37</v>
      </c>
      <c r="J110" s="104">
        <v>2.29</v>
      </c>
      <c r="K110" s="104">
        <v>0.0</v>
      </c>
      <c r="L110" s="106">
        <v>0.026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>
        <f t="shared" si="3"/>
        <v>4</v>
      </c>
      <c r="B111" s="1" t="str">
        <f t="shared" si="1"/>
        <v>Mar 21, 2024</v>
      </c>
      <c r="C111" s="1">
        <f t="shared" si="2"/>
        <v>2.72</v>
      </c>
      <c r="D111" s="3">
        <f t="shared" si="4"/>
        <v>0.01115241636</v>
      </c>
      <c r="E111" s="1">
        <f t="shared" si="5"/>
        <v>106</v>
      </c>
      <c r="F111" s="104" t="s">
        <v>163</v>
      </c>
      <c r="G111" s="118">
        <v>2.31</v>
      </c>
      <c r="H111" s="104">
        <v>2.25</v>
      </c>
      <c r="I111" s="104">
        <v>2.32</v>
      </c>
      <c r="J111" s="104">
        <v>2.25</v>
      </c>
      <c r="K111" s="104">
        <v>0.0</v>
      </c>
      <c r="L111" s="106">
        <v>0.0267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>
        <f t="shared" si="3"/>
        <v>3</v>
      </c>
      <c r="B112" s="1" t="str">
        <f t="shared" si="1"/>
        <v>Mar 22, 2024</v>
      </c>
      <c r="C112" s="1">
        <f t="shared" si="2"/>
        <v>2.69</v>
      </c>
      <c r="D112" s="3">
        <f t="shared" si="4"/>
        <v>-0.01102941176</v>
      </c>
      <c r="E112" s="1">
        <f t="shared" si="5"/>
        <v>107</v>
      </c>
      <c r="F112" s="104" t="s">
        <v>164</v>
      </c>
      <c r="G112" s="118">
        <v>2.25</v>
      </c>
      <c r="H112" s="104">
        <v>2.23</v>
      </c>
      <c r="I112" s="104">
        <v>2.27</v>
      </c>
      <c r="J112" s="104">
        <v>2.22</v>
      </c>
      <c r="K112" s="104">
        <v>0.0</v>
      </c>
      <c r="L112" s="106">
        <v>0.009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>
        <f t="shared" si="3"/>
        <v>2</v>
      </c>
      <c r="B113" s="1" t="str">
        <f t="shared" si="1"/>
        <v>Mar 25, 2024</v>
      </c>
      <c r="C113" s="1">
        <f t="shared" si="2"/>
        <v>2.71</v>
      </c>
      <c r="D113" s="3">
        <f t="shared" si="4"/>
        <v>0.007434944238</v>
      </c>
      <c r="E113" s="1">
        <f t="shared" si="5"/>
        <v>108</v>
      </c>
      <c r="F113" s="104" t="s">
        <v>165</v>
      </c>
      <c r="G113" s="117">
        <v>2.23</v>
      </c>
      <c r="H113" s="104">
        <v>2.26</v>
      </c>
      <c r="I113" s="104">
        <v>2.29</v>
      </c>
      <c r="J113" s="104">
        <v>2.21</v>
      </c>
      <c r="K113" s="104">
        <v>0.0</v>
      </c>
      <c r="L113" s="108">
        <v>-0.0133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>
        <f t="shared" si="3"/>
        <v>1</v>
      </c>
      <c r="B114" s="1" t="str">
        <f t="shared" si="1"/>
        <v>Mar 26, 2024</v>
      </c>
      <c r="C114" s="1">
        <f t="shared" si="2"/>
        <v>2.66</v>
      </c>
      <c r="D114" s="3">
        <f t="shared" si="4"/>
        <v>-0.0184501845</v>
      </c>
      <c r="E114" s="1">
        <f t="shared" si="5"/>
        <v>109</v>
      </c>
      <c r="F114" s="104" t="s">
        <v>166</v>
      </c>
      <c r="G114" s="118">
        <v>2.26</v>
      </c>
      <c r="H114" s="104">
        <v>2.23</v>
      </c>
      <c r="I114" s="104">
        <v>2.29</v>
      </c>
      <c r="J114" s="104">
        <v>2.23</v>
      </c>
      <c r="K114" s="104">
        <v>0.0</v>
      </c>
      <c r="L114" s="106">
        <v>0.0135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13.78"/>
    <col customWidth="1" min="3" max="5" width="10.78"/>
    <col customWidth="1" hidden="1" min="6" max="6" width="10.56"/>
    <col customWidth="1" hidden="1" min="7" max="7" width="15.78"/>
    <col customWidth="1" hidden="1" min="8" max="8" width="10.56"/>
    <col customWidth="1" min="9" max="13" width="10.78"/>
    <col customWidth="1" min="14" max="26" width="10.56"/>
  </cols>
  <sheetData>
    <row r="1" ht="15.75" customHeight="1">
      <c r="A1" s="1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61</v>
      </c>
      <c r="C5" s="1" t="s">
        <v>62</v>
      </c>
      <c r="D5" s="3" t="s">
        <v>51</v>
      </c>
      <c r="E5" s="1"/>
      <c r="F5" s="1"/>
      <c r="G5" s="100" t="s">
        <v>59</v>
      </c>
      <c r="H5" s="100" t="s">
        <v>171</v>
      </c>
      <c r="I5" s="100"/>
      <c r="J5" s="100"/>
      <c r="K5" s="100"/>
      <c r="L5" s="100"/>
      <c r="M5" s="10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105.0</v>
      </c>
      <c r="B6" s="1" t="str">
        <f t="shared" ref="B6:B110" si="1">VLOOKUP(A6,$F$6:$H$110,2)</f>
        <v>Oct 26, 2023</v>
      </c>
      <c r="C6" s="1">
        <f t="shared" ref="C6:C110" si="2">VLOOKUP(A6,$F$6:$H$110,3)</f>
        <v>298.35</v>
      </c>
      <c r="D6" s="3"/>
      <c r="E6" s="1"/>
      <c r="F6" s="1">
        <v>1.0</v>
      </c>
      <c r="G6" s="104" t="s">
        <v>63</v>
      </c>
      <c r="H6" s="117">
        <v>375.94</v>
      </c>
      <c r="I6" s="104"/>
      <c r="J6" s="104"/>
      <c r="K6" s="104"/>
      <c r="L6" s="104"/>
      <c r="M6" s="10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f t="shared" ref="A7:A110" si="3">A6-1</f>
        <v>104</v>
      </c>
      <c r="B7" s="1" t="str">
        <f t="shared" si="1"/>
        <v>Oct 27, 2023</v>
      </c>
      <c r="C7" s="1">
        <f t="shared" si="2"/>
        <v>305.39</v>
      </c>
      <c r="D7" s="3">
        <f t="shared" ref="D7:D110" si="4">C7/C6-1</f>
        <v>0.02359644713</v>
      </c>
      <c r="E7" s="1"/>
      <c r="F7" s="1">
        <f t="shared" ref="F7:F110" si="5">1+F6</f>
        <v>2</v>
      </c>
      <c r="G7" s="104" t="s">
        <v>65</v>
      </c>
      <c r="H7" s="118">
        <v>375.98</v>
      </c>
      <c r="I7" s="104"/>
      <c r="J7" s="104"/>
      <c r="K7" s="104"/>
      <c r="L7" s="104"/>
      <c r="M7" s="10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f t="shared" si="3"/>
        <v>103</v>
      </c>
      <c r="B8" s="1" t="str">
        <f t="shared" si="1"/>
        <v>Oct 30, 2023</v>
      </c>
      <c r="C8" s="1">
        <f t="shared" si="2"/>
        <v>309.97</v>
      </c>
      <c r="D8" s="3">
        <f t="shared" si="4"/>
        <v>0.01499721667</v>
      </c>
      <c r="E8" s="1"/>
      <c r="F8" s="1">
        <f t="shared" si="5"/>
        <v>3</v>
      </c>
      <c r="G8" s="104" t="s">
        <v>66</v>
      </c>
      <c r="H8" s="118">
        <v>375.23</v>
      </c>
      <c r="I8" s="104"/>
      <c r="J8" s="104"/>
      <c r="K8" s="104"/>
      <c r="L8" s="104"/>
      <c r="M8" s="10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>
        <f t="shared" si="3"/>
        <v>102</v>
      </c>
      <c r="B9" s="1" t="str">
        <f t="shared" si="1"/>
        <v>Oct 31, 2023</v>
      </c>
      <c r="C9" s="1">
        <f t="shared" si="2"/>
        <v>311.66</v>
      </c>
      <c r="D9" s="3">
        <f t="shared" si="4"/>
        <v>0.00545214053</v>
      </c>
      <c r="E9" s="2" t="s">
        <v>51</v>
      </c>
      <c r="F9" s="1">
        <f t="shared" si="5"/>
        <v>4</v>
      </c>
      <c r="G9" s="104" t="s">
        <v>68</v>
      </c>
      <c r="H9" s="117">
        <v>370.23</v>
      </c>
      <c r="I9" s="119">
        <f>AVERAGE(D7:D110)</f>
        <v>0.002355040763</v>
      </c>
      <c r="J9" s="104"/>
      <c r="K9" s="104"/>
      <c r="L9" s="104"/>
      <c r="M9" s="10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f t="shared" si="3"/>
        <v>101</v>
      </c>
      <c r="B10" s="1" t="str">
        <f t="shared" si="1"/>
        <v>Nov 01, 2023</v>
      </c>
      <c r="C10" s="1">
        <f t="shared" si="2"/>
        <v>314.13</v>
      </c>
      <c r="D10" s="3">
        <f t="shared" si="4"/>
        <v>0.007925303215</v>
      </c>
      <c r="E10" s="2" t="s">
        <v>67</v>
      </c>
      <c r="F10" s="1">
        <f t="shared" si="5"/>
        <v>5</v>
      </c>
      <c r="G10" s="104" t="s">
        <v>69</v>
      </c>
      <c r="H10" s="117">
        <v>383.06</v>
      </c>
      <c r="I10" s="119">
        <f>STDEV(D7:D110)</f>
        <v>0.01622480189</v>
      </c>
      <c r="J10" s="104"/>
      <c r="K10" s="104"/>
      <c r="L10" s="104"/>
      <c r="M10" s="10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f t="shared" si="3"/>
        <v>100</v>
      </c>
      <c r="B11" s="1" t="str">
        <f t="shared" si="1"/>
        <v>Nov 02, 2023</v>
      </c>
      <c r="C11" s="1">
        <f t="shared" si="2"/>
        <v>313.98</v>
      </c>
      <c r="D11" s="3">
        <f t="shared" si="4"/>
        <v>-0.0004775093114</v>
      </c>
      <c r="E11" s="1"/>
      <c r="F11" s="1">
        <f t="shared" si="5"/>
        <v>6</v>
      </c>
      <c r="G11" s="104" t="s">
        <v>70</v>
      </c>
      <c r="H11" s="117">
        <v>384.85</v>
      </c>
      <c r="I11" s="104"/>
      <c r="J11" s="104"/>
      <c r="K11" s="104"/>
      <c r="L11" s="104"/>
      <c r="M11" s="10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f t="shared" si="3"/>
        <v>99</v>
      </c>
      <c r="B12" s="1" t="str">
        <f t="shared" si="1"/>
        <v>Nov 03, 2023 D</v>
      </c>
      <c r="C12" s="1">
        <f t="shared" si="2"/>
        <v>313.33</v>
      </c>
      <c r="D12" s="3">
        <f t="shared" si="4"/>
        <v>-0.002070195554</v>
      </c>
      <c r="E12" s="1"/>
      <c r="F12" s="1">
        <f t="shared" si="5"/>
        <v>7</v>
      </c>
      <c r="G12" s="104" t="s">
        <v>71</v>
      </c>
      <c r="H12" s="118">
        <v>395.03</v>
      </c>
      <c r="I12" s="104"/>
      <c r="J12" s="104"/>
      <c r="K12" s="104"/>
      <c r="L12" s="104"/>
      <c r="M12" s="10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f t="shared" si="3"/>
        <v>98</v>
      </c>
      <c r="B13" s="1" t="str">
        <f t="shared" si="1"/>
        <v>Nov 06, 2023</v>
      </c>
      <c r="C13" s="1">
        <f t="shared" si="2"/>
        <v>314.55</v>
      </c>
      <c r="D13" s="3">
        <f t="shared" si="4"/>
        <v>0.003893658443</v>
      </c>
      <c r="E13" s="1"/>
      <c r="F13" s="1">
        <f t="shared" si="5"/>
        <v>8</v>
      </c>
      <c r="G13" s="104" t="s">
        <v>72</v>
      </c>
      <c r="H13" s="118">
        <v>385.17</v>
      </c>
      <c r="I13" s="104"/>
      <c r="J13" s="104"/>
      <c r="K13" s="104"/>
      <c r="L13" s="104"/>
      <c r="M13" s="10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f t="shared" si="3"/>
        <v>97</v>
      </c>
      <c r="B14" s="1" t="str">
        <f t="shared" si="1"/>
        <v>Nov 07, 2023</v>
      </c>
      <c r="C14" s="1">
        <f t="shared" si="2"/>
        <v>312.01</v>
      </c>
      <c r="D14" s="3">
        <f t="shared" si="4"/>
        <v>-0.008075027818</v>
      </c>
      <c r="E14" s="1"/>
      <c r="F14" s="1">
        <f t="shared" si="5"/>
        <v>9</v>
      </c>
      <c r="G14" s="104" t="s">
        <v>73</v>
      </c>
      <c r="H14" s="118">
        <v>382.16</v>
      </c>
      <c r="I14" s="104"/>
      <c r="J14" s="104"/>
      <c r="K14" s="104"/>
      <c r="L14" s="104"/>
      <c r="M14" s="10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f t="shared" si="3"/>
        <v>96</v>
      </c>
      <c r="B15" s="1" t="str">
        <f t="shared" si="1"/>
        <v>Nov 08, 2023</v>
      </c>
      <c r="C15" s="1">
        <f t="shared" si="2"/>
        <v>311.17</v>
      </c>
      <c r="D15" s="3">
        <f t="shared" si="4"/>
        <v>-0.002692221403</v>
      </c>
      <c r="E15" s="1"/>
      <c r="F15" s="1">
        <f t="shared" si="5"/>
        <v>10</v>
      </c>
      <c r="G15" s="104" t="s">
        <v>74</v>
      </c>
      <c r="H15" s="117">
        <v>375.44</v>
      </c>
      <c r="I15" s="104"/>
      <c r="J15" s="104"/>
      <c r="K15" s="104"/>
      <c r="L15" s="104"/>
      <c r="M15" s="10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f t="shared" si="3"/>
        <v>95</v>
      </c>
      <c r="B16" s="1" t="str">
        <f t="shared" si="1"/>
        <v>Nov 09, 2023</v>
      </c>
      <c r="C16" s="1">
        <f t="shared" si="2"/>
        <v>313.92</v>
      </c>
      <c r="D16" s="3">
        <f t="shared" si="4"/>
        <v>0.00883761288</v>
      </c>
      <c r="E16" s="1"/>
      <c r="F16" s="1">
        <f t="shared" si="5"/>
        <v>11</v>
      </c>
      <c r="G16" s="104" t="s">
        <v>75</v>
      </c>
      <c r="H16" s="118">
        <v>379.54</v>
      </c>
      <c r="I16" s="104"/>
      <c r="J16" s="104"/>
      <c r="K16" s="104"/>
      <c r="L16" s="104"/>
      <c r="M16" s="10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f t="shared" si="3"/>
        <v>94</v>
      </c>
      <c r="B17" s="1" t="str">
        <f t="shared" si="1"/>
        <v>Nov 10, 2023</v>
      </c>
      <c r="C17" s="1">
        <f t="shared" si="2"/>
        <v>311.8</v>
      </c>
      <c r="D17" s="3">
        <f t="shared" si="4"/>
        <v>-0.006753312946</v>
      </c>
      <c r="E17" s="1"/>
      <c r="F17" s="1">
        <f t="shared" si="5"/>
        <v>12</v>
      </c>
      <c r="G17" s="104" t="s">
        <v>76</v>
      </c>
      <c r="H17" s="118">
        <v>378.35</v>
      </c>
      <c r="I17" s="104"/>
      <c r="J17" s="104"/>
      <c r="K17" s="104"/>
      <c r="L17" s="104"/>
      <c r="M17" s="10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f t="shared" si="3"/>
        <v>93</v>
      </c>
      <c r="B18" s="1" t="str">
        <f t="shared" si="1"/>
        <v>Nov 12, 2023</v>
      </c>
      <c r="C18" s="1">
        <f t="shared" si="2"/>
        <v>313.15</v>
      </c>
      <c r="D18" s="3">
        <f t="shared" si="4"/>
        <v>0.004329698525</v>
      </c>
      <c r="E18" s="1"/>
      <c r="F18" s="1">
        <f t="shared" si="5"/>
        <v>13</v>
      </c>
      <c r="G18" s="104" t="s">
        <v>77</v>
      </c>
      <c r="H18" s="117">
        <v>373.92</v>
      </c>
      <c r="I18" s="104"/>
      <c r="J18" s="104"/>
      <c r="K18" s="104"/>
      <c r="L18" s="104"/>
      <c r="M18" s="10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f t="shared" si="3"/>
        <v>92</v>
      </c>
      <c r="B19" s="1" t="str">
        <f t="shared" si="1"/>
        <v>Nov 13, 2023</v>
      </c>
      <c r="C19" s="1">
        <f t="shared" si="2"/>
        <v>309.96</v>
      </c>
      <c r="D19" s="3">
        <f t="shared" si="4"/>
        <v>-0.01018681143</v>
      </c>
      <c r="E19" s="1"/>
      <c r="F19" s="1">
        <f t="shared" si="5"/>
        <v>14</v>
      </c>
      <c r="G19" s="104" t="s">
        <v>78</v>
      </c>
      <c r="H19" s="118">
        <v>383.65</v>
      </c>
      <c r="I19" s="104"/>
      <c r="J19" s="104"/>
      <c r="K19" s="104"/>
      <c r="L19" s="104"/>
      <c r="M19" s="10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f t="shared" si="3"/>
        <v>91</v>
      </c>
      <c r="B20" s="1" t="str">
        <f t="shared" si="1"/>
        <v>Nov 15, 2023</v>
      </c>
      <c r="C20" s="1">
        <f t="shared" si="2"/>
        <v>314.48</v>
      </c>
      <c r="D20" s="3">
        <f t="shared" si="4"/>
        <v>0.01458252678</v>
      </c>
      <c r="E20" s="1"/>
      <c r="F20" s="1">
        <f t="shared" si="5"/>
        <v>15</v>
      </c>
      <c r="G20" s="104" t="s">
        <v>79</v>
      </c>
      <c r="H20" s="117">
        <v>373.51</v>
      </c>
      <c r="I20" s="104"/>
      <c r="J20" s="104"/>
      <c r="K20" s="104"/>
      <c r="L20" s="104"/>
      <c r="M20" s="10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 t="shared" si="3"/>
        <v>90</v>
      </c>
      <c r="B21" s="1" t="str">
        <f t="shared" si="1"/>
        <v>Nov 16, 2023</v>
      </c>
      <c r="C21" s="1">
        <f t="shared" si="2"/>
        <v>314.89</v>
      </c>
      <c r="D21" s="3">
        <f t="shared" si="4"/>
        <v>0.001303739506</v>
      </c>
      <c r="E21" s="1"/>
      <c r="F21" s="1">
        <f t="shared" si="5"/>
        <v>16</v>
      </c>
      <c r="G21" s="104" t="s">
        <v>191</v>
      </c>
      <c r="H21" s="117">
        <v>374.7</v>
      </c>
      <c r="I21" s="104"/>
      <c r="J21" s="104"/>
      <c r="K21" s="104"/>
      <c r="L21" s="104"/>
      <c r="M21" s="10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 t="shared" si="3"/>
        <v>89</v>
      </c>
      <c r="B22" s="1" t="str">
        <f t="shared" si="1"/>
        <v>Nov 17, 2023</v>
      </c>
      <c r="C22" s="1">
        <f t="shared" si="2"/>
        <v>315.12</v>
      </c>
      <c r="D22" s="3">
        <f t="shared" si="4"/>
        <v>0.0007304137953</v>
      </c>
      <c r="E22" s="1"/>
      <c r="F22" s="1">
        <f t="shared" si="5"/>
        <v>17</v>
      </c>
      <c r="G22" s="104" t="s">
        <v>80</v>
      </c>
      <c r="H22" s="118">
        <v>378.21</v>
      </c>
      <c r="I22" s="104"/>
      <c r="J22" s="104"/>
      <c r="K22" s="104"/>
      <c r="L22" s="104"/>
      <c r="M22" s="10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 t="shared" si="3"/>
        <v>88</v>
      </c>
      <c r="B23" s="1" t="str">
        <f t="shared" si="1"/>
        <v>Nov 20, 2023</v>
      </c>
      <c r="C23" s="1">
        <f t="shared" si="2"/>
        <v>317.59</v>
      </c>
      <c r="D23" s="3">
        <f t="shared" si="4"/>
        <v>0.007838283828</v>
      </c>
      <c r="E23" s="1"/>
      <c r="F23" s="1">
        <f t="shared" si="5"/>
        <v>18</v>
      </c>
      <c r="G23" s="104" t="s">
        <v>81</v>
      </c>
      <c r="H23" s="118">
        <v>373.8</v>
      </c>
      <c r="I23" s="104"/>
      <c r="J23" s="104"/>
      <c r="K23" s="104"/>
      <c r="L23" s="104"/>
      <c r="M23" s="10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 t="shared" si="3"/>
        <v>87</v>
      </c>
      <c r="B24" s="1" t="str">
        <f t="shared" si="1"/>
        <v>Nov 21, 2023</v>
      </c>
      <c r="C24" s="1">
        <f t="shared" si="2"/>
        <v>318.9</v>
      </c>
      <c r="D24" s="3">
        <f t="shared" si="4"/>
        <v>0.004124815013</v>
      </c>
      <c r="E24" s="1"/>
      <c r="F24" s="1">
        <f t="shared" si="5"/>
        <v>19</v>
      </c>
      <c r="G24" s="104" t="s">
        <v>82</v>
      </c>
      <c r="H24" s="117">
        <v>365.47</v>
      </c>
      <c r="I24" s="104"/>
      <c r="J24" s="104"/>
      <c r="K24" s="104"/>
      <c r="L24" s="104"/>
      <c r="M24" s="10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 t="shared" si="3"/>
        <v>86</v>
      </c>
      <c r="B25" s="1" t="str">
        <f t="shared" si="1"/>
        <v>Nov 22, 2023</v>
      </c>
      <c r="C25" s="1">
        <f t="shared" si="2"/>
        <v>314.02</v>
      </c>
      <c r="D25" s="3">
        <f t="shared" si="4"/>
        <v>-0.0153026027</v>
      </c>
      <c r="E25" s="1"/>
      <c r="F25" s="1">
        <f t="shared" si="5"/>
        <v>20</v>
      </c>
      <c r="G25" s="104" t="s">
        <v>83</v>
      </c>
      <c r="H25" s="117">
        <v>366.97</v>
      </c>
      <c r="I25" s="104"/>
      <c r="J25" s="104"/>
      <c r="K25" s="104"/>
      <c r="L25" s="104"/>
      <c r="M25" s="10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 t="shared" si="3"/>
        <v>85</v>
      </c>
      <c r="B26" s="1" t="str">
        <f t="shared" si="1"/>
        <v>Nov 23, 2023</v>
      </c>
      <c r="C26" s="1">
        <f t="shared" si="2"/>
        <v>317.61</v>
      </c>
      <c r="D26" s="3">
        <f t="shared" si="4"/>
        <v>0.01143239284</v>
      </c>
      <c r="E26" s="1"/>
      <c r="F26" s="1">
        <f t="shared" si="5"/>
        <v>21</v>
      </c>
      <c r="G26" s="104" t="s">
        <v>84</v>
      </c>
      <c r="H26" s="118">
        <v>369.28</v>
      </c>
      <c r="I26" s="104"/>
      <c r="J26" s="104"/>
      <c r="K26" s="104"/>
      <c r="L26" s="104"/>
      <c r="M26" s="10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 t="shared" si="3"/>
        <v>84</v>
      </c>
      <c r="B27" s="1" t="str">
        <f t="shared" si="1"/>
        <v>Nov 24, 2023</v>
      </c>
      <c r="C27" s="1">
        <f t="shared" si="2"/>
        <v>319.82</v>
      </c>
      <c r="D27" s="3">
        <f t="shared" si="4"/>
        <v>0.0069582192</v>
      </c>
      <c r="E27" s="1"/>
      <c r="F27" s="1">
        <f t="shared" si="5"/>
        <v>22</v>
      </c>
      <c r="G27" s="104" t="s">
        <v>85</v>
      </c>
      <c r="H27" s="118">
        <v>363.95</v>
      </c>
      <c r="I27" s="104"/>
      <c r="J27" s="104"/>
      <c r="K27" s="104"/>
      <c r="L27" s="104"/>
      <c r="M27" s="10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 t="shared" si="3"/>
        <v>83</v>
      </c>
      <c r="B28" s="1" t="str">
        <f t="shared" si="1"/>
        <v>Nov 28, 2023</v>
      </c>
      <c r="C28" s="1">
        <f t="shared" si="2"/>
        <v>314.9</v>
      </c>
      <c r="D28" s="3">
        <f t="shared" si="4"/>
        <v>-0.0153836533</v>
      </c>
      <c r="E28" s="1"/>
      <c r="F28" s="1">
        <f t="shared" si="5"/>
        <v>23</v>
      </c>
      <c r="G28" s="104" t="s">
        <v>86</v>
      </c>
      <c r="H28" s="117">
        <v>353.91</v>
      </c>
      <c r="I28" s="104"/>
      <c r="J28" s="104"/>
      <c r="K28" s="104"/>
      <c r="L28" s="104"/>
      <c r="M28" s="10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 t="shared" si="3"/>
        <v>82</v>
      </c>
      <c r="B29" s="1" t="str">
        <f t="shared" si="1"/>
        <v>Nov 29, 2023</v>
      </c>
      <c r="C29" s="1">
        <f t="shared" si="2"/>
        <v>317.6</v>
      </c>
      <c r="D29" s="3">
        <f t="shared" si="4"/>
        <v>0.008574150524</v>
      </c>
      <c r="E29" s="1"/>
      <c r="F29" s="1">
        <f t="shared" si="5"/>
        <v>24</v>
      </c>
      <c r="G29" s="104" t="s">
        <v>87</v>
      </c>
      <c r="H29" s="117">
        <v>358.92</v>
      </c>
      <c r="I29" s="104"/>
      <c r="J29" s="104"/>
      <c r="K29" s="104"/>
      <c r="L29" s="104"/>
      <c r="M29" s="10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 t="shared" si="3"/>
        <v>81</v>
      </c>
      <c r="B30" s="1" t="str">
        <f t="shared" si="1"/>
        <v>Nov 30, 2023</v>
      </c>
      <c r="C30" s="1">
        <f t="shared" si="2"/>
        <v>322.17</v>
      </c>
      <c r="D30" s="3">
        <f t="shared" si="4"/>
        <v>0.01438916877</v>
      </c>
      <c r="E30" s="1"/>
      <c r="F30" s="1">
        <f t="shared" si="5"/>
        <v>25</v>
      </c>
      <c r="G30" s="104" t="s">
        <v>88</v>
      </c>
      <c r="H30" s="117">
        <v>367.9</v>
      </c>
      <c r="I30" s="104"/>
      <c r="J30" s="104"/>
      <c r="K30" s="104"/>
      <c r="L30" s="104"/>
      <c r="M30" s="10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 t="shared" si="3"/>
        <v>80</v>
      </c>
      <c r="B31" s="1" t="str">
        <f t="shared" si="1"/>
        <v>Dec 01, 2023</v>
      </c>
      <c r="C31" s="1">
        <f t="shared" si="2"/>
        <v>317.72</v>
      </c>
      <c r="D31" s="3">
        <f t="shared" si="4"/>
        <v>-0.01381258342</v>
      </c>
      <c r="E31" s="1"/>
      <c r="F31" s="1">
        <f t="shared" si="5"/>
        <v>26</v>
      </c>
      <c r="G31" s="104" t="s">
        <v>89</v>
      </c>
      <c r="H31" s="118">
        <v>367.92</v>
      </c>
      <c r="I31" s="104"/>
      <c r="J31" s="104"/>
      <c r="K31" s="104"/>
      <c r="L31" s="104"/>
      <c r="M31" s="10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 t="shared" si="3"/>
        <v>79</v>
      </c>
      <c r="B32" s="1" t="str">
        <f t="shared" si="1"/>
        <v>Dec 04, 2023</v>
      </c>
      <c r="C32" s="1">
        <f t="shared" si="2"/>
        <v>317.19</v>
      </c>
      <c r="D32" s="3">
        <f t="shared" si="4"/>
        <v>-0.001668135465</v>
      </c>
      <c r="E32" s="1"/>
      <c r="F32" s="1">
        <f t="shared" si="5"/>
        <v>27</v>
      </c>
      <c r="G32" s="104" t="s">
        <v>90</v>
      </c>
      <c r="H32" s="117">
        <v>367.91</v>
      </c>
      <c r="I32" s="104"/>
      <c r="J32" s="104"/>
      <c r="K32" s="104"/>
      <c r="L32" s="104"/>
      <c r="M32" s="10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 t="shared" si="3"/>
        <v>78</v>
      </c>
      <c r="B33" s="1" t="str">
        <f t="shared" si="1"/>
        <v>Dec 05, 2023</v>
      </c>
      <c r="C33" s="1">
        <f t="shared" si="2"/>
        <v>316.74</v>
      </c>
      <c r="D33" s="3">
        <f t="shared" si="4"/>
        <v>-0.00141870803</v>
      </c>
      <c r="E33" s="1"/>
      <c r="F33" s="1">
        <f t="shared" si="5"/>
        <v>28</v>
      </c>
      <c r="G33" s="104" t="s">
        <v>91</v>
      </c>
      <c r="H33" s="117">
        <v>368.8</v>
      </c>
      <c r="I33" s="104"/>
      <c r="J33" s="104"/>
      <c r="K33" s="104"/>
      <c r="L33" s="104"/>
      <c r="M33" s="10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 t="shared" si="3"/>
        <v>77</v>
      </c>
      <c r="B34" s="1" t="str">
        <f t="shared" si="1"/>
        <v>Dec 06, 2023</v>
      </c>
      <c r="C34" s="1">
        <f t="shared" si="2"/>
        <v>297.09</v>
      </c>
      <c r="D34" s="3">
        <f t="shared" si="4"/>
        <v>-0.06203826482</v>
      </c>
      <c r="E34" s="1"/>
      <c r="F34" s="1">
        <f t="shared" si="5"/>
        <v>29</v>
      </c>
      <c r="G34" s="104" t="s">
        <v>92</v>
      </c>
      <c r="H34" s="118">
        <v>368.86</v>
      </c>
      <c r="I34" s="104"/>
      <c r="J34" s="104"/>
      <c r="K34" s="104"/>
      <c r="L34" s="104"/>
      <c r="M34" s="10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 t="shared" si="3"/>
        <v>76</v>
      </c>
      <c r="B35" s="1" t="str">
        <f t="shared" si="1"/>
        <v>Dec 07, 2023</v>
      </c>
      <c r="C35" s="1">
        <f t="shared" si="2"/>
        <v>319.04</v>
      </c>
      <c r="D35" s="3">
        <f t="shared" si="4"/>
        <v>0.07388333502</v>
      </c>
      <c r="E35" s="1"/>
      <c r="F35" s="1">
        <f t="shared" si="5"/>
        <v>30</v>
      </c>
      <c r="G35" s="104" t="s">
        <v>93</v>
      </c>
      <c r="H35" s="118">
        <v>362.5</v>
      </c>
      <c r="I35" s="104"/>
      <c r="J35" s="104"/>
      <c r="K35" s="104"/>
      <c r="L35" s="104"/>
      <c r="M35" s="10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 t="shared" si="3"/>
        <v>75</v>
      </c>
      <c r="B36" s="1" t="str">
        <f t="shared" si="1"/>
        <v>Dec 08, 2023</v>
      </c>
      <c r="C36" s="1">
        <f t="shared" si="2"/>
        <v>325.9</v>
      </c>
      <c r="D36" s="3">
        <f t="shared" si="4"/>
        <v>0.02150200602</v>
      </c>
      <c r="E36" s="1"/>
      <c r="F36" s="1">
        <f t="shared" si="5"/>
        <v>31</v>
      </c>
      <c r="G36" s="104" t="s">
        <v>192</v>
      </c>
      <c r="H36" s="117">
        <v>358.15</v>
      </c>
      <c r="I36" s="104"/>
      <c r="J36" s="104"/>
      <c r="K36" s="104"/>
      <c r="L36" s="104"/>
      <c r="M36" s="10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 t="shared" si="3"/>
        <v>74</v>
      </c>
      <c r="B37" s="1" t="str">
        <f t="shared" si="1"/>
        <v>Dec 11, 2023</v>
      </c>
      <c r="C37" s="1">
        <f t="shared" si="2"/>
        <v>330.24</v>
      </c>
      <c r="D37" s="3">
        <f t="shared" si="4"/>
        <v>0.0133169684</v>
      </c>
      <c r="E37" s="1"/>
      <c r="F37" s="1">
        <f t="shared" si="5"/>
        <v>32</v>
      </c>
      <c r="G37" s="104" t="s">
        <v>95</v>
      </c>
      <c r="H37" s="117">
        <v>362.91</v>
      </c>
      <c r="I37" s="104"/>
      <c r="J37" s="104"/>
      <c r="K37" s="104"/>
      <c r="L37" s="104"/>
      <c r="M37" s="10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 t="shared" si="3"/>
        <v>73</v>
      </c>
      <c r="B38" s="1" t="str">
        <f t="shared" si="1"/>
        <v>Dec 12, 2023</v>
      </c>
      <c r="C38" s="1">
        <f t="shared" si="2"/>
        <v>330.67</v>
      </c>
      <c r="D38" s="3">
        <f t="shared" si="4"/>
        <v>0.001302083333</v>
      </c>
      <c r="E38" s="1"/>
      <c r="F38" s="1">
        <f t="shared" si="5"/>
        <v>33</v>
      </c>
      <c r="G38" s="104" t="s">
        <v>96</v>
      </c>
      <c r="H38" s="117">
        <v>364.49</v>
      </c>
      <c r="I38" s="104"/>
      <c r="J38" s="104"/>
      <c r="K38" s="104"/>
      <c r="L38" s="104"/>
      <c r="M38" s="10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 t="shared" si="3"/>
        <v>72</v>
      </c>
      <c r="B39" s="1" t="str">
        <f t="shared" si="1"/>
        <v>Dec 13, 2023</v>
      </c>
      <c r="C39" s="1">
        <f t="shared" si="2"/>
        <v>333.46</v>
      </c>
      <c r="D39" s="3">
        <f t="shared" si="4"/>
        <v>0.008437414945</v>
      </c>
      <c r="E39" s="1"/>
      <c r="F39" s="1">
        <f t="shared" si="5"/>
        <v>34</v>
      </c>
      <c r="G39" s="104" t="s">
        <v>97</v>
      </c>
      <c r="H39" s="118">
        <v>365.09</v>
      </c>
      <c r="I39" s="104"/>
      <c r="J39" s="104"/>
      <c r="K39" s="104"/>
      <c r="L39" s="104"/>
      <c r="M39" s="10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 t="shared" si="3"/>
        <v>71</v>
      </c>
      <c r="B40" s="1" t="str">
        <f t="shared" si="1"/>
        <v>Dec 14, 2023</v>
      </c>
      <c r="C40" s="1">
        <f t="shared" si="2"/>
        <v>333.51</v>
      </c>
      <c r="D40" s="3">
        <f t="shared" si="4"/>
        <v>0.0001499430217</v>
      </c>
      <c r="E40" s="1"/>
      <c r="F40" s="1">
        <f t="shared" si="5"/>
        <v>35</v>
      </c>
      <c r="G40" s="104" t="s">
        <v>98</v>
      </c>
      <c r="H40" s="117">
        <v>364.64</v>
      </c>
      <c r="I40" s="104"/>
      <c r="J40" s="104"/>
      <c r="K40" s="104"/>
      <c r="L40" s="104"/>
      <c r="M40" s="10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 t="shared" si="3"/>
        <v>70</v>
      </c>
      <c r="B41" s="1" t="str">
        <f t="shared" si="1"/>
        <v>Dec 15, 2023</v>
      </c>
      <c r="C41" s="1">
        <f t="shared" si="2"/>
        <v>327.31</v>
      </c>
      <c r="D41" s="3">
        <f t="shared" si="4"/>
        <v>-0.01859014722</v>
      </c>
      <c r="E41" s="1"/>
      <c r="F41" s="1">
        <f t="shared" si="5"/>
        <v>36</v>
      </c>
      <c r="G41" s="104" t="s">
        <v>99</v>
      </c>
      <c r="H41" s="117">
        <v>365.94</v>
      </c>
      <c r="I41" s="104"/>
      <c r="J41" s="104"/>
      <c r="K41" s="104"/>
      <c r="L41" s="104"/>
      <c r="M41" s="10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 t="shared" si="3"/>
        <v>69</v>
      </c>
      <c r="B42" s="1" t="str">
        <f t="shared" si="1"/>
        <v>Dec 18, 2023</v>
      </c>
      <c r="C42" s="1">
        <f t="shared" si="2"/>
        <v>324.33</v>
      </c>
      <c r="D42" s="3">
        <f t="shared" si="4"/>
        <v>-0.009104518652</v>
      </c>
      <c r="E42" s="1"/>
      <c r="F42" s="1">
        <f t="shared" si="5"/>
        <v>37</v>
      </c>
      <c r="G42" s="104" t="s">
        <v>100</v>
      </c>
      <c r="H42" s="118">
        <v>368.6</v>
      </c>
      <c r="I42" s="104"/>
      <c r="J42" s="104"/>
      <c r="K42" s="104"/>
      <c r="L42" s="104"/>
      <c r="M42" s="10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 t="shared" si="3"/>
        <v>68</v>
      </c>
      <c r="B43" s="1" t="str">
        <f t="shared" si="1"/>
        <v>Dec 19, 2023</v>
      </c>
      <c r="C43" s="1">
        <f t="shared" si="2"/>
        <v>335.75</v>
      </c>
      <c r="D43" s="3">
        <f t="shared" si="4"/>
        <v>0.03521105047</v>
      </c>
      <c r="E43" s="1"/>
      <c r="F43" s="1">
        <f t="shared" si="5"/>
        <v>38</v>
      </c>
      <c r="G43" s="104" t="s">
        <v>193</v>
      </c>
      <c r="H43" s="118">
        <v>365.25</v>
      </c>
      <c r="I43" s="104"/>
      <c r="J43" s="104"/>
      <c r="K43" s="104"/>
      <c r="L43" s="104"/>
      <c r="M43" s="10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 t="shared" si="3"/>
        <v>67</v>
      </c>
      <c r="B44" s="1" t="str">
        <f t="shared" si="1"/>
        <v>Dec 20, 2023</v>
      </c>
      <c r="C44" s="1">
        <f t="shared" si="2"/>
        <v>332.25</v>
      </c>
      <c r="D44" s="3">
        <f t="shared" si="4"/>
        <v>-0.01042442293</v>
      </c>
      <c r="E44" s="1"/>
      <c r="F44" s="1">
        <f t="shared" si="5"/>
        <v>39</v>
      </c>
      <c r="G44" s="104" t="s">
        <v>102</v>
      </c>
      <c r="H44" s="118">
        <v>359.15</v>
      </c>
      <c r="I44" s="104"/>
      <c r="J44" s="104"/>
      <c r="K44" s="104"/>
      <c r="L44" s="104"/>
      <c r="M44" s="10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 t="shared" si="3"/>
        <v>66</v>
      </c>
      <c r="B45" s="1" t="str">
        <f t="shared" si="1"/>
        <v>Dec 21, 2023</v>
      </c>
      <c r="C45" s="1">
        <f t="shared" si="2"/>
        <v>329.48</v>
      </c>
      <c r="D45" s="3">
        <f t="shared" si="4"/>
        <v>-0.008337095561</v>
      </c>
      <c r="E45" s="1"/>
      <c r="F45" s="1">
        <f t="shared" si="5"/>
        <v>40</v>
      </c>
      <c r="G45" s="104" t="s">
        <v>103</v>
      </c>
      <c r="H45" s="117">
        <v>351.07</v>
      </c>
      <c r="I45" s="104"/>
      <c r="J45" s="104"/>
      <c r="K45" s="104"/>
      <c r="L45" s="104"/>
      <c r="M45" s="10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 t="shared" si="3"/>
        <v>65</v>
      </c>
      <c r="B46" s="1" t="str">
        <f t="shared" si="1"/>
        <v>Dec 22, 2023</v>
      </c>
      <c r="C46" s="1">
        <f t="shared" si="2"/>
        <v>323.97</v>
      </c>
      <c r="D46" s="3">
        <f t="shared" si="4"/>
        <v>-0.0167233216</v>
      </c>
      <c r="E46" s="1"/>
      <c r="F46" s="1">
        <f t="shared" si="5"/>
        <v>41</v>
      </c>
      <c r="G46" s="104" t="s">
        <v>104</v>
      </c>
      <c r="H46" s="118">
        <v>353.8</v>
      </c>
      <c r="I46" s="104"/>
      <c r="J46" s="104"/>
      <c r="K46" s="104"/>
      <c r="L46" s="104"/>
      <c r="M46" s="10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 t="shared" si="3"/>
        <v>64</v>
      </c>
      <c r="B47" s="1" t="str">
        <f t="shared" si="1"/>
        <v>Dec 26, 2023</v>
      </c>
      <c r="C47" s="1">
        <f t="shared" si="2"/>
        <v>333.17</v>
      </c>
      <c r="D47" s="3">
        <f t="shared" si="4"/>
        <v>0.02839769114</v>
      </c>
      <c r="E47" s="1"/>
      <c r="F47" s="1">
        <f t="shared" si="5"/>
        <v>42</v>
      </c>
      <c r="G47" s="104" t="s">
        <v>105</v>
      </c>
      <c r="H47" s="117">
        <v>349.71</v>
      </c>
      <c r="I47" s="104"/>
      <c r="J47" s="104"/>
      <c r="K47" s="104"/>
      <c r="L47" s="104"/>
      <c r="M47" s="10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 t="shared" si="3"/>
        <v>63</v>
      </c>
      <c r="B48" s="1" t="str">
        <f t="shared" si="1"/>
        <v>Dec 27, 2023</v>
      </c>
      <c r="C48" s="1">
        <f t="shared" si="2"/>
        <v>329.84</v>
      </c>
      <c r="D48" s="3">
        <f t="shared" si="4"/>
        <v>-0.0099948975</v>
      </c>
      <c r="E48" s="1"/>
      <c r="F48" s="1">
        <f t="shared" si="5"/>
        <v>43</v>
      </c>
      <c r="G48" s="104" t="s">
        <v>106</v>
      </c>
      <c r="H48" s="118">
        <v>354.92</v>
      </c>
      <c r="I48" s="104"/>
      <c r="J48" s="104"/>
      <c r="K48" s="104"/>
      <c r="L48" s="104"/>
      <c r="M48" s="10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 t="shared" si="3"/>
        <v>62</v>
      </c>
      <c r="B49" s="1" t="str">
        <f t="shared" si="1"/>
        <v>Dec 28, 2023</v>
      </c>
      <c r="C49" s="1">
        <f t="shared" si="2"/>
        <v>324.83</v>
      </c>
      <c r="D49" s="3">
        <f t="shared" si="4"/>
        <v>-0.01518918263</v>
      </c>
      <c r="E49" s="1"/>
      <c r="F49" s="1">
        <f t="shared" si="5"/>
        <v>44</v>
      </c>
      <c r="G49" s="104" t="s">
        <v>107</v>
      </c>
      <c r="H49" s="118">
        <v>353.54</v>
      </c>
      <c r="I49" s="104"/>
      <c r="J49" s="104"/>
      <c r="K49" s="104"/>
      <c r="L49" s="104"/>
      <c r="M49" s="10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 t="shared" si="3"/>
        <v>61</v>
      </c>
      <c r="B50" s="1" t="str">
        <f t="shared" si="1"/>
        <v>Dec 29, 2023</v>
      </c>
      <c r="C50" s="1">
        <f t="shared" si="2"/>
        <v>324.65</v>
      </c>
      <c r="D50" s="3">
        <f t="shared" si="4"/>
        <v>-0.0005541360096</v>
      </c>
      <c r="E50" s="1"/>
      <c r="F50" s="1">
        <f t="shared" si="5"/>
        <v>45</v>
      </c>
      <c r="G50" s="104" t="s">
        <v>194</v>
      </c>
      <c r="H50" s="117">
        <v>347.85</v>
      </c>
      <c r="I50" s="104"/>
      <c r="J50" s="104"/>
      <c r="K50" s="104"/>
      <c r="L50" s="104"/>
      <c r="M50" s="10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 t="shared" si="3"/>
        <v>60</v>
      </c>
      <c r="B51" s="1" t="str">
        <f t="shared" si="1"/>
        <v>Jan 01, 2024</v>
      </c>
      <c r="C51" s="1">
        <f t="shared" si="2"/>
        <v>327.13</v>
      </c>
      <c r="D51" s="3">
        <f t="shared" si="4"/>
        <v>0.007638995842</v>
      </c>
      <c r="E51" s="1"/>
      <c r="F51" s="1">
        <f t="shared" si="5"/>
        <v>46</v>
      </c>
      <c r="G51" s="104" t="s">
        <v>108</v>
      </c>
      <c r="H51" s="117">
        <v>351.39</v>
      </c>
      <c r="I51" s="104"/>
      <c r="J51" s="104"/>
      <c r="K51" s="104"/>
      <c r="L51" s="104"/>
      <c r="M51" s="10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 t="shared" si="3"/>
        <v>59</v>
      </c>
      <c r="B52" s="1" t="str">
        <f t="shared" si="1"/>
        <v>Jan 02, 2024</v>
      </c>
      <c r="C52" s="1">
        <f t="shared" si="2"/>
        <v>328.8</v>
      </c>
      <c r="D52" s="3">
        <f t="shared" si="4"/>
        <v>0.005105004127</v>
      </c>
      <c r="E52" s="1"/>
      <c r="F52" s="1">
        <f t="shared" si="5"/>
        <v>47</v>
      </c>
      <c r="G52" s="104" t="s">
        <v>109</v>
      </c>
      <c r="H52" s="118">
        <v>354.78</v>
      </c>
      <c r="I52" s="104"/>
      <c r="J52" s="104"/>
      <c r="K52" s="104"/>
      <c r="L52" s="104"/>
      <c r="M52" s="10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 t="shared" si="3"/>
        <v>58</v>
      </c>
      <c r="B53" s="1" t="str">
        <f t="shared" si="1"/>
        <v>Jan 03, 2024</v>
      </c>
      <c r="C53" s="1">
        <f t="shared" si="2"/>
        <v>331.14</v>
      </c>
      <c r="D53" s="3">
        <f t="shared" si="4"/>
        <v>0.007116788321</v>
      </c>
      <c r="E53" s="1"/>
      <c r="F53" s="1">
        <f t="shared" si="5"/>
        <v>48</v>
      </c>
      <c r="G53" s="104" t="s">
        <v>110</v>
      </c>
      <c r="H53" s="118">
        <v>351.51</v>
      </c>
      <c r="I53" s="104"/>
      <c r="J53" s="104"/>
      <c r="K53" s="104"/>
      <c r="L53" s="104"/>
      <c r="M53" s="10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 t="shared" si="3"/>
        <v>57</v>
      </c>
      <c r="B54" s="1" t="str">
        <f t="shared" si="1"/>
        <v>Jan 04, 2024</v>
      </c>
      <c r="C54" s="1">
        <f t="shared" si="2"/>
        <v>332.02</v>
      </c>
      <c r="D54" s="3">
        <f t="shared" si="4"/>
        <v>0.00265748626</v>
      </c>
      <c r="E54" s="1"/>
      <c r="F54" s="1">
        <f t="shared" si="5"/>
        <v>49</v>
      </c>
      <c r="G54" s="104" t="s">
        <v>111</v>
      </c>
      <c r="H54" s="118">
        <v>349.99</v>
      </c>
      <c r="I54" s="104"/>
      <c r="J54" s="104"/>
      <c r="K54" s="104"/>
      <c r="L54" s="104"/>
      <c r="M54" s="10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 t="shared" si="3"/>
        <v>56</v>
      </c>
      <c r="B55" s="1" t="str">
        <f t="shared" si="1"/>
        <v>Jan 05, 2024</v>
      </c>
      <c r="C55" s="1">
        <f t="shared" si="2"/>
        <v>332.55</v>
      </c>
      <c r="D55" s="3">
        <f t="shared" si="4"/>
        <v>0.00159628938</v>
      </c>
      <c r="E55" s="1"/>
      <c r="F55" s="1">
        <f t="shared" si="5"/>
        <v>50</v>
      </c>
      <c r="G55" s="104" t="s">
        <v>112</v>
      </c>
      <c r="H55" s="117">
        <v>346.43</v>
      </c>
      <c r="I55" s="104"/>
      <c r="J55" s="104"/>
      <c r="K55" s="104"/>
      <c r="L55" s="104"/>
      <c r="M55" s="10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 t="shared" si="3"/>
        <v>55</v>
      </c>
      <c r="B56" s="1" t="str">
        <f t="shared" si="1"/>
        <v>Jan 08, 2024</v>
      </c>
      <c r="C56" s="1">
        <f t="shared" si="2"/>
        <v>328.66</v>
      </c>
      <c r="D56" s="3">
        <f t="shared" si="4"/>
        <v>-0.0116974891</v>
      </c>
      <c r="E56" s="1"/>
      <c r="F56" s="1">
        <f t="shared" si="5"/>
        <v>51</v>
      </c>
      <c r="G56" s="104" t="s">
        <v>113</v>
      </c>
      <c r="H56" s="117">
        <v>349.95</v>
      </c>
      <c r="I56" s="104"/>
      <c r="J56" s="104"/>
      <c r="K56" s="104"/>
      <c r="L56" s="104"/>
      <c r="M56" s="10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 t="shared" si="3"/>
        <v>54</v>
      </c>
      <c r="B57" s="1" t="str">
        <f t="shared" si="1"/>
        <v>Jan 09, 2024</v>
      </c>
      <c r="C57" s="1">
        <f t="shared" si="2"/>
        <v>334.42</v>
      </c>
      <c r="D57" s="3">
        <f t="shared" si="4"/>
        <v>0.01752571046</v>
      </c>
      <c r="E57" s="1"/>
      <c r="F57" s="1">
        <f t="shared" si="5"/>
        <v>52</v>
      </c>
      <c r="G57" s="104" t="s">
        <v>114</v>
      </c>
      <c r="H57" s="118">
        <v>349.99</v>
      </c>
      <c r="I57" s="104"/>
      <c r="J57" s="104"/>
      <c r="K57" s="104"/>
      <c r="L57" s="104"/>
      <c r="M57" s="10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 t="shared" si="3"/>
        <v>53</v>
      </c>
      <c r="B58" s="1" t="str">
        <f t="shared" si="1"/>
        <v>Jan 10, 2024</v>
      </c>
      <c r="C58" s="1">
        <f t="shared" si="2"/>
        <v>341.59</v>
      </c>
      <c r="D58" s="3">
        <f t="shared" si="4"/>
        <v>0.02144010526</v>
      </c>
      <c r="E58" s="1"/>
      <c r="F58" s="1">
        <f t="shared" si="5"/>
        <v>53</v>
      </c>
      <c r="G58" s="104" t="s">
        <v>115</v>
      </c>
      <c r="H58" s="118">
        <v>341.59</v>
      </c>
      <c r="I58" s="104"/>
      <c r="J58" s="104"/>
      <c r="K58" s="104"/>
      <c r="L58" s="104"/>
      <c r="M58" s="10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 t="shared" si="3"/>
        <v>52</v>
      </c>
      <c r="B59" s="1" t="str">
        <f t="shared" si="1"/>
        <v>Jan 11, 2024</v>
      </c>
      <c r="C59" s="1">
        <f t="shared" si="2"/>
        <v>349.99</v>
      </c>
      <c r="D59" s="3">
        <f t="shared" si="4"/>
        <v>0.02459088381</v>
      </c>
      <c r="E59" s="1"/>
      <c r="F59" s="1">
        <f t="shared" si="5"/>
        <v>54</v>
      </c>
      <c r="G59" s="104" t="s">
        <v>116</v>
      </c>
      <c r="H59" s="118">
        <v>334.42</v>
      </c>
      <c r="I59" s="104"/>
      <c r="J59" s="104"/>
      <c r="K59" s="104"/>
      <c r="L59" s="104"/>
      <c r="M59" s="10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 t="shared" si="3"/>
        <v>51</v>
      </c>
      <c r="B60" s="1" t="str">
        <f t="shared" si="1"/>
        <v>Jan 12, 2024</v>
      </c>
      <c r="C60" s="1">
        <f t="shared" si="2"/>
        <v>349.95</v>
      </c>
      <c r="D60" s="3">
        <f t="shared" si="4"/>
        <v>-0.0001142889797</v>
      </c>
      <c r="E60" s="1"/>
      <c r="F60" s="1">
        <f t="shared" si="5"/>
        <v>55</v>
      </c>
      <c r="G60" s="104" t="s">
        <v>117</v>
      </c>
      <c r="H60" s="117">
        <v>328.66</v>
      </c>
      <c r="I60" s="104"/>
      <c r="J60" s="104"/>
      <c r="K60" s="104"/>
      <c r="L60" s="104"/>
      <c r="M60" s="10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 t="shared" si="3"/>
        <v>50</v>
      </c>
      <c r="B61" s="1" t="str">
        <f t="shared" si="1"/>
        <v>Jan 15, 2024</v>
      </c>
      <c r="C61" s="1">
        <f t="shared" si="2"/>
        <v>346.43</v>
      </c>
      <c r="D61" s="3">
        <f t="shared" si="4"/>
        <v>-0.0100585798</v>
      </c>
      <c r="E61" s="1"/>
      <c r="F61" s="1">
        <f t="shared" si="5"/>
        <v>56</v>
      </c>
      <c r="G61" s="104" t="s">
        <v>118</v>
      </c>
      <c r="H61" s="118">
        <v>332.55</v>
      </c>
      <c r="I61" s="104"/>
      <c r="J61" s="104"/>
      <c r="K61" s="104"/>
      <c r="L61" s="104"/>
      <c r="M61" s="10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 t="shared" si="3"/>
        <v>49</v>
      </c>
      <c r="B62" s="1" t="str">
        <f t="shared" si="1"/>
        <v>Jan 16, 2024</v>
      </c>
      <c r="C62" s="1">
        <f t="shared" si="2"/>
        <v>349.99</v>
      </c>
      <c r="D62" s="3">
        <f t="shared" si="4"/>
        <v>0.01027624628</v>
      </c>
      <c r="E62" s="1"/>
      <c r="F62" s="1">
        <f t="shared" si="5"/>
        <v>57</v>
      </c>
      <c r="G62" s="104" t="s">
        <v>119</v>
      </c>
      <c r="H62" s="118">
        <v>332.02</v>
      </c>
      <c r="I62" s="104"/>
      <c r="J62" s="104"/>
      <c r="K62" s="104"/>
      <c r="L62" s="104"/>
      <c r="M62" s="10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 t="shared" si="3"/>
        <v>48</v>
      </c>
      <c r="B63" s="1" t="str">
        <f t="shared" si="1"/>
        <v>Jan 17, 2024</v>
      </c>
      <c r="C63" s="1">
        <f t="shared" si="2"/>
        <v>351.51</v>
      </c>
      <c r="D63" s="3">
        <f t="shared" si="4"/>
        <v>0.004342981228</v>
      </c>
      <c r="E63" s="1"/>
      <c r="F63" s="1">
        <f t="shared" si="5"/>
        <v>58</v>
      </c>
      <c r="G63" s="104" t="s">
        <v>120</v>
      </c>
      <c r="H63" s="118">
        <v>331.14</v>
      </c>
      <c r="I63" s="104"/>
      <c r="J63" s="104"/>
      <c r="K63" s="104"/>
      <c r="L63" s="104"/>
      <c r="M63" s="10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 t="shared" si="3"/>
        <v>47</v>
      </c>
      <c r="B64" s="1" t="str">
        <f t="shared" si="1"/>
        <v>Jan 18, 2024</v>
      </c>
      <c r="C64" s="1">
        <f t="shared" si="2"/>
        <v>354.78</v>
      </c>
      <c r="D64" s="3">
        <f t="shared" si="4"/>
        <v>0.00930272254</v>
      </c>
      <c r="E64" s="1"/>
      <c r="F64" s="1">
        <f t="shared" si="5"/>
        <v>59</v>
      </c>
      <c r="G64" s="104" t="s">
        <v>121</v>
      </c>
      <c r="H64" s="118">
        <v>328.8</v>
      </c>
      <c r="I64" s="104"/>
      <c r="J64" s="104"/>
      <c r="K64" s="104"/>
      <c r="L64" s="104"/>
      <c r="M64" s="10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 t="shared" si="3"/>
        <v>46</v>
      </c>
      <c r="B65" s="1" t="str">
        <f t="shared" si="1"/>
        <v>Jan 19, 2024</v>
      </c>
      <c r="C65" s="1">
        <f t="shared" si="2"/>
        <v>351.39</v>
      </c>
      <c r="D65" s="3">
        <f t="shared" si="4"/>
        <v>-0.009555217318</v>
      </c>
      <c r="E65" s="1"/>
      <c r="F65" s="1">
        <f t="shared" si="5"/>
        <v>60</v>
      </c>
      <c r="G65" s="104" t="s">
        <v>122</v>
      </c>
      <c r="H65" s="118">
        <v>327.13</v>
      </c>
      <c r="I65" s="104"/>
      <c r="J65" s="104"/>
      <c r="K65" s="104"/>
      <c r="L65" s="104"/>
      <c r="M65" s="10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 t="shared" si="3"/>
        <v>45</v>
      </c>
      <c r="B66" s="1" t="str">
        <f t="shared" si="1"/>
        <v>Jan 20, 2024</v>
      </c>
      <c r="C66" s="1">
        <f t="shared" si="2"/>
        <v>347.85</v>
      </c>
      <c r="D66" s="3">
        <f t="shared" si="4"/>
        <v>-0.01007427644</v>
      </c>
      <c r="E66" s="1"/>
      <c r="F66" s="1">
        <f t="shared" si="5"/>
        <v>61</v>
      </c>
      <c r="G66" s="104" t="s">
        <v>123</v>
      </c>
      <c r="H66" s="117">
        <v>324.65</v>
      </c>
      <c r="I66" s="104"/>
      <c r="J66" s="104"/>
      <c r="K66" s="104"/>
      <c r="L66" s="104"/>
      <c r="M66" s="10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 t="shared" si="3"/>
        <v>44</v>
      </c>
      <c r="B67" s="1" t="str">
        <f t="shared" si="1"/>
        <v>Jan 23, 2024</v>
      </c>
      <c r="C67" s="1">
        <f t="shared" si="2"/>
        <v>353.54</v>
      </c>
      <c r="D67" s="3">
        <f t="shared" si="4"/>
        <v>0.01635762541</v>
      </c>
      <c r="E67" s="1"/>
      <c r="F67" s="1">
        <f t="shared" si="5"/>
        <v>62</v>
      </c>
      <c r="G67" s="104" t="s">
        <v>124</v>
      </c>
      <c r="H67" s="117">
        <v>324.83</v>
      </c>
      <c r="I67" s="104"/>
      <c r="J67" s="104"/>
      <c r="K67" s="104"/>
      <c r="L67" s="104"/>
      <c r="M67" s="10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 t="shared" si="3"/>
        <v>43</v>
      </c>
      <c r="B68" s="1" t="str">
        <f t="shared" si="1"/>
        <v>Jan 24, 2024</v>
      </c>
      <c r="C68" s="1">
        <f t="shared" si="2"/>
        <v>354.92</v>
      </c>
      <c r="D68" s="3">
        <f t="shared" si="4"/>
        <v>0.00390337727</v>
      </c>
      <c r="E68" s="1"/>
      <c r="F68" s="1">
        <f t="shared" si="5"/>
        <v>63</v>
      </c>
      <c r="G68" s="104" t="s">
        <v>125</v>
      </c>
      <c r="H68" s="117">
        <v>329.84</v>
      </c>
      <c r="I68" s="104"/>
      <c r="J68" s="104"/>
      <c r="K68" s="104"/>
      <c r="L68" s="104"/>
      <c r="M68" s="10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 t="shared" si="3"/>
        <v>42</v>
      </c>
      <c r="B69" s="1" t="str">
        <f t="shared" si="1"/>
        <v>Jan 25, 2024</v>
      </c>
      <c r="C69" s="1">
        <f t="shared" si="2"/>
        <v>349.71</v>
      </c>
      <c r="D69" s="3">
        <f t="shared" si="4"/>
        <v>-0.01467936436</v>
      </c>
      <c r="E69" s="1"/>
      <c r="F69" s="1">
        <f t="shared" si="5"/>
        <v>64</v>
      </c>
      <c r="G69" s="104" t="s">
        <v>126</v>
      </c>
      <c r="H69" s="118">
        <v>333.17</v>
      </c>
      <c r="I69" s="104"/>
      <c r="J69" s="104"/>
      <c r="K69" s="104"/>
      <c r="L69" s="104"/>
      <c r="M69" s="10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 t="shared" si="3"/>
        <v>41</v>
      </c>
      <c r="B70" s="1" t="str">
        <f t="shared" si="1"/>
        <v>Jan 29, 2024</v>
      </c>
      <c r="C70" s="1">
        <f t="shared" si="2"/>
        <v>353.8</v>
      </c>
      <c r="D70" s="3">
        <f t="shared" si="4"/>
        <v>0.01169540476</v>
      </c>
      <c r="E70" s="1"/>
      <c r="F70" s="1">
        <f t="shared" si="5"/>
        <v>65</v>
      </c>
      <c r="G70" s="104" t="s">
        <v>127</v>
      </c>
      <c r="H70" s="117">
        <v>323.97</v>
      </c>
      <c r="I70" s="104"/>
      <c r="J70" s="104"/>
      <c r="K70" s="104"/>
      <c r="L70" s="104"/>
      <c r="M70" s="10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 t="shared" si="3"/>
        <v>40</v>
      </c>
      <c r="B71" s="1" t="str">
        <f t="shared" si="1"/>
        <v>Jan 30, 2024</v>
      </c>
      <c r="C71" s="1">
        <f t="shared" si="2"/>
        <v>351.07</v>
      </c>
      <c r="D71" s="3">
        <f t="shared" si="4"/>
        <v>-0.007716223855</v>
      </c>
      <c r="E71" s="1"/>
      <c r="F71" s="1">
        <f t="shared" si="5"/>
        <v>66</v>
      </c>
      <c r="G71" s="104" t="s">
        <v>128</v>
      </c>
      <c r="H71" s="117">
        <v>329.48</v>
      </c>
      <c r="I71" s="104"/>
      <c r="J71" s="104"/>
      <c r="K71" s="104"/>
      <c r="L71" s="104"/>
      <c r="M71" s="10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 t="shared" si="3"/>
        <v>39</v>
      </c>
      <c r="B72" s="1" t="str">
        <f t="shared" si="1"/>
        <v>Jan 31, 2024</v>
      </c>
      <c r="C72" s="1">
        <f t="shared" si="2"/>
        <v>359.15</v>
      </c>
      <c r="D72" s="3">
        <f t="shared" si="4"/>
        <v>0.02301535306</v>
      </c>
      <c r="E72" s="1"/>
      <c r="F72" s="1">
        <f t="shared" si="5"/>
        <v>67</v>
      </c>
      <c r="G72" s="104" t="s">
        <v>129</v>
      </c>
      <c r="H72" s="117">
        <v>332.25</v>
      </c>
      <c r="I72" s="104"/>
      <c r="J72" s="104"/>
      <c r="K72" s="104"/>
      <c r="L72" s="104"/>
      <c r="M72" s="10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 t="shared" si="3"/>
        <v>38</v>
      </c>
      <c r="B73" s="1" t="str">
        <f t="shared" si="1"/>
        <v>Feb 01, 2024 E</v>
      </c>
      <c r="C73" s="1">
        <f t="shared" si="2"/>
        <v>365.25</v>
      </c>
      <c r="D73" s="3">
        <f t="shared" si="4"/>
        <v>0.01698454685</v>
      </c>
      <c r="E73" s="1"/>
      <c r="F73" s="1">
        <f t="shared" si="5"/>
        <v>68</v>
      </c>
      <c r="G73" s="104" t="s">
        <v>130</v>
      </c>
      <c r="H73" s="118">
        <v>335.75</v>
      </c>
      <c r="I73" s="104"/>
      <c r="J73" s="104"/>
      <c r="K73" s="104"/>
      <c r="L73" s="104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 t="shared" si="3"/>
        <v>37</v>
      </c>
      <c r="B74" s="1" t="str">
        <f t="shared" si="1"/>
        <v>Feb 02, 2024</v>
      </c>
      <c r="C74" s="1">
        <f t="shared" si="2"/>
        <v>368.6</v>
      </c>
      <c r="D74" s="3">
        <f t="shared" si="4"/>
        <v>0.009171800137</v>
      </c>
      <c r="E74" s="1"/>
      <c r="F74" s="1">
        <f t="shared" si="5"/>
        <v>69</v>
      </c>
      <c r="G74" s="104" t="s">
        <v>131</v>
      </c>
      <c r="H74" s="117">
        <v>324.33</v>
      </c>
      <c r="I74" s="104"/>
      <c r="J74" s="104"/>
      <c r="K74" s="104"/>
      <c r="L74" s="104"/>
      <c r="M74" s="10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 t="shared" si="3"/>
        <v>36</v>
      </c>
      <c r="B75" s="1" t="str">
        <f t="shared" si="1"/>
        <v>Feb 05, 2024</v>
      </c>
      <c r="C75" s="1">
        <f t="shared" si="2"/>
        <v>365.94</v>
      </c>
      <c r="D75" s="3">
        <f t="shared" si="4"/>
        <v>-0.007216494845</v>
      </c>
      <c r="E75" s="1"/>
      <c r="F75" s="1">
        <f t="shared" si="5"/>
        <v>70</v>
      </c>
      <c r="G75" s="104" t="s">
        <v>132</v>
      </c>
      <c r="H75" s="117">
        <v>327.31</v>
      </c>
      <c r="I75" s="104"/>
      <c r="J75" s="104"/>
      <c r="K75" s="104"/>
      <c r="L75" s="104"/>
      <c r="M75" s="10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 t="shared" si="3"/>
        <v>35</v>
      </c>
      <c r="B76" s="1" t="str">
        <f t="shared" si="1"/>
        <v>Feb 06, 2024</v>
      </c>
      <c r="C76" s="1">
        <f t="shared" si="2"/>
        <v>364.64</v>
      </c>
      <c r="D76" s="3">
        <f t="shared" si="4"/>
        <v>-0.003552494945</v>
      </c>
      <c r="E76" s="1"/>
      <c r="F76" s="1">
        <f t="shared" si="5"/>
        <v>71</v>
      </c>
      <c r="G76" s="104" t="s">
        <v>133</v>
      </c>
      <c r="H76" s="118">
        <v>333.51</v>
      </c>
      <c r="I76" s="104"/>
      <c r="J76" s="104"/>
      <c r="K76" s="104"/>
      <c r="L76" s="104"/>
      <c r="M76" s="10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 t="shared" si="3"/>
        <v>34</v>
      </c>
      <c r="B77" s="1" t="str">
        <f t="shared" si="1"/>
        <v>Feb 07, 2024</v>
      </c>
      <c r="C77" s="1">
        <f t="shared" si="2"/>
        <v>365.09</v>
      </c>
      <c r="D77" s="3">
        <f t="shared" si="4"/>
        <v>0.001234093901</v>
      </c>
      <c r="E77" s="1"/>
      <c r="F77" s="1">
        <f t="shared" si="5"/>
        <v>72</v>
      </c>
      <c r="G77" s="104" t="s">
        <v>134</v>
      </c>
      <c r="H77" s="118">
        <v>333.46</v>
      </c>
      <c r="I77" s="104"/>
      <c r="J77" s="104"/>
      <c r="K77" s="104"/>
      <c r="L77" s="104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 t="shared" si="3"/>
        <v>33</v>
      </c>
      <c r="B78" s="1" t="str">
        <f t="shared" si="1"/>
        <v>Feb 08, 2024</v>
      </c>
      <c r="C78" s="1">
        <f t="shared" si="2"/>
        <v>364.49</v>
      </c>
      <c r="D78" s="3">
        <f t="shared" si="4"/>
        <v>-0.001643430387</v>
      </c>
      <c r="E78" s="1"/>
      <c r="F78" s="1">
        <f t="shared" si="5"/>
        <v>73</v>
      </c>
      <c r="G78" s="104" t="s">
        <v>135</v>
      </c>
      <c r="H78" s="118">
        <v>330.67</v>
      </c>
      <c r="I78" s="104"/>
      <c r="J78" s="104"/>
      <c r="K78" s="104"/>
      <c r="L78" s="104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 t="shared" si="3"/>
        <v>32</v>
      </c>
      <c r="B79" s="1" t="str">
        <f t="shared" si="1"/>
        <v>Feb 09, 2024</v>
      </c>
      <c r="C79" s="1">
        <f t="shared" si="2"/>
        <v>362.91</v>
      </c>
      <c r="D79" s="3">
        <f t="shared" si="4"/>
        <v>-0.004334824001</v>
      </c>
      <c r="E79" s="1"/>
      <c r="F79" s="1">
        <f t="shared" si="5"/>
        <v>74</v>
      </c>
      <c r="G79" s="104" t="s">
        <v>136</v>
      </c>
      <c r="H79" s="118">
        <v>330.24</v>
      </c>
      <c r="I79" s="104"/>
      <c r="J79" s="104"/>
      <c r="K79" s="104"/>
      <c r="L79" s="104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 t="shared" si="3"/>
        <v>31</v>
      </c>
      <c r="B80" s="1" t="str">
        <f t="shared" si="1"/>
        <v>Feb 12, 2024 D</v>
      </c>
      <c r="C80" s="1">
        <f t="shared" si="2"/>
        <v>358.15</v>
      </c>
      <c r="D80" s="3">
        <f t="shared" si="4"/>
        <v>-0.01311619961</v>
      </c>
      <c r="E80" s="1"/>
      <c r="F80" s="1">
        <f t="shared" si="5"/>
        <v>75</v>
      </c>
      <c r="G80" s="104" t="s">
        <v>137</v>
      </c>
      <c r="H80" s="118">
        <v>325.9</v>
      </c>
      <c r="I80" s="104"/>
      <c r="J80" s="104"/>
      <c r="K80" s="104"/>
      <c r="L80" s="104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 t="shared" si="3"/>
        <v>30</v>
      </c>
      <c r="B81" s="1" t="str">
        <f t="shared" si="1"/>
        <v>Feb 13, 2024</v>
      </c>
      <c r="C81" s="1">
        <f t="shared" si="2"/>
        <v>362.5</v>
      </c>
      <c r="D81" s="3">
        <f t="shared" si="4"/>
        <v>0.01214574899</v>
      </c>
      <c r="E81" s="1"/>
      <c r="F81" s="1">
        <f t="shared" si="5"/>
        <v>76</v>
      </c>
      <c r="G81" s="104" t="s">
        <v>138</v>
      </c>
      <c r="H81" s="118">
        <v>319.04</v>
      </c>
      <c r="I81" s="104"/>
      <c r="J81" s="104"/>
      <c r="K81" s="104"/>
      <c r="L81" s="104"/>
      <c r="M81" s="10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 t="shared" si="3"/>
        <v>29</v>
      </c>
      <c r="B82" s="1" t="str">
        <f t="shared" si="1"/>
        <v>Feb 14, 2024</v>
      </c>
      <c r="C82" s="1">
        <f t="shared" si="2"/>
        <v>368.86</v>
      </c>
      <c r="D82" s="3">
        <f t="shared" si="4"/>
        <v>0.01754482759</v>
      </c>
      <c r="E82" s="1"/>
      <c r="F82" s="1">
        <f t="shared" si="5"/>
        <v>77</v>
      </c>
      <c r="G82" s="104" t="s">
        <v>139</v>
      </c>
      <c r="H82" s="117">
        <v>297.09</v>
      </c>
      <c r="I82" s="104"/>
      <c r="J82" s="104"/>
      <c r="K82" s="104"/>
      <c r="L82" s="104"/>
      <c r="M82" s="10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 t="shared" si="3"/>
        <v>28</v>
      </c>
      <c r="B83" s="1" t="str">
        <f t="shared" si="1"/>
        <v>Feb 15, 2024</v>
      </c>
      <c r="C83" s="1">
        <f t="shared" si="2"/>
        <v>368.8</v>
      </c>
      <c r="D83" s="3">
        <f t="shared" si="4"/>
        <v>-0.0001626633411</v>
      </c>
      <c r="E83" s="1"/>
      <c r="F83" s="1">
        <f t="shared" si="5"/>
        <v>78</v>
      </c>
      <c r="G83" s="104" t="s">
        <v>140</v>
      </c>
      <c r="H83" s="117">
        <v>316.74</v>
      </c>
      <c r="I83" s="104"/>
      <c r="J83" s="104"/>
      <c r="K83" s="104"/>
      <c r="L83" s="104"/>
      <c r="M83" s="10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 t="shared" si="3"/>
        <v>27</v>
      </c>
      <c r="B84" s="1" t="str">
        <f t="shared" si="1"/>
        <v>Feb 16, 2024</v>
      </c>
      <c r="C84" s="1">
        <f t="shared" si="2"/>
        <v>367.91</v>
      </c>
      <c r="D84" s="3">
        <f t="shared" si="4"/>
        <v>-0.002413232104</v>
      </c>
      <c r="E84" s="1"/>
      <c r="F84" s="1">
        <f t="shared" si="5"/>
        <v>79</v>
      </c>
      <c r="G84" s="104" t="s">
        <v>141</v>
      </c>
      <c r="H84" s="117">
        <v>317.19</v>
      </c>
      <c r="I84" s="104"/>
      <c r="J84" s="104"/>
      <c r="K84" s="104"/>
      <c r="L84" s="104"/>
      <c r="M84" s="10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 t="shared" si="3"/>
        <v>26</v>
      </c>
      <c r="B85" s="1" t="str">
        <f t="shared" si="1"/>
        <v>Feb 19, 2024</v>
      </c>
      <c r="C85" s="1">
        <f t="shared" si="2"/>
        <v>367.92</v>
      </c>
      <c r="D85" s="3">
        <f t="shared" si="4"/>
        <v>0.00002718056046</v>
      </c>
      <c r="E85" s="1"/>
      <c r="F85" s="1">
        <f t="shared" si="5"/>
        <v>80</v>
      </c>
      <c r="G85" s="104" t="s">
        <v>142</v>
      </c>
      <c r="H85" s="117">
        <v>317.72</v>
      </c>
      <c r="I85" s="104"/>
      <c r="J85" s="104"/>
      <c r="K85" s="104"/>
      <c r="L85" s="104"/>
      <c r="M85" s="10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 t="shared" si="3"/>
        <v>25</v>
      </c>
      <c r="B86" s="1" t="str">
        <f t="shared" si="1"/>
        <v>Feb 20, 2024</v>
      </c>
      <c r="C86" s="1">
        <f t="shared" si="2"/>
        <v>367.9</v>
      </c>
      <c r="D86" s="3">
        <f t="shared" si="4"/>
        <v>-0.0000543596434</v>
      </c>
      <c r="E86" s="1"/>
      <c r="F86" s="1">
        <f t="shared" si="5"/>
        <v>81</v>
      </c>
      <c r="G86" s="104" t="s">
        <v>143</v>
      </c>
      <c r="H86" s="118">
        <v>322.17</v>
      </c>
      <c r="I86" s="104"/>
      <c r="J86" s="104"/>
      <c r="K86" s="104"/>
      <c r="L86" s="104"/>
      <c r="M86" s="10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 t="shared" si="3"/>
        <v>24</v>
      </c>
      <c r="B87" s="1" t="str">
        <f t="shared" si="1"/>
        <v>Feb 21, 2024</v>
      </c>
      <c r="C87" s="1">
        <f t="shared" si="2"/>
        <v>358.92</v>
      </c>
      <c r="D87" s="3">
        <f t="shared" si="4"/>
        <v>-0.02440880674</v>
      </c>
      <c r="E87" s="1"/>
      <c r="F87" s="1">
        <f t="shared" si="5"/>
        <v>82</v>
      </c>
      <c r="G87" s="104" t="s">
        <v>144</v>
      </c>
      <c r="H87" s="118">
        <v>317.6</v>
      </c>
      <c r="I87" s="104"/>
      <c r="J87" s="104"/>
      <c r="K87" s="104"/>
      <c r="L87" s="104"/>
      <c r="M87" s="10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 t="shared" si="3"/>
        <v>23</v>
      </c>
      <c r="B88" s="1" t="str">
        <f t="shared" si="1"/>
        <v>Feb 22, 2024</v>
      </c>
      <c r="C88" s="1">
        <f t="shared" si="2"/>
        <v>353.91</v>
      </c>
      <c r="D88" s="3">
        <f t="shared" si="4"/>
        <v>-0.01395854229</v>
      </c>
      <c r="E88" s="1"/>
      <c r="F88" s="1">
        <f t="shared" si="5"/>
        <v>83</v>
      </c>
      <c r="G88" s="104" t="s">
        <v>145</v>
      </c>
      <c r="H88" s="117">
        <v>314.9</v>
      </c>
      <c r="I88" s="104"/>
      <c r="J88" s="104"/>
      <c r="K88" s="104"/>
      <c r="L88" s="104"/>
      <c r="M88" s="10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 t="shared" si="3"/>
        <v>22</v>
      </c>
      <c r="B89" s="1" t="str">
        <f t="shared" si="1"/>
        <v>Feb 23, 2024</v>
      </c>
      <c r="C89" s="1">
        <f t="shared" si="2"/>
        <v>363.95</v>
      </c>
      <c r="D89" s="3">
        <f t="shared" si="4"/>
        <v>0.02836879433</v>
      </c>
      <c r="E89" s="1"/>
      <c r="F89" s="1">
        <f t="shared" si="5"/>
        <v>84</v>
      </c>
      <c r="G89" s="104" t="s">
        <v>146</v>
      </c>
      <c r="H89" s="118">
        <v>319.82</v>
      </c>
      <c r="I89" s="104"/>
      <c r="J89" s="104"/>
      <c r="K89" s="104"/>
      <c r="L89" s="104"/>
      <c r="M89" s="10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 t="shared" si="3"/>
        <v>21</v>
      </c>
      <c r="B90" s="1" t="str">
        <f t="shared" si="1"/>
        <v>Feb 26, 2024</v>
      </c>
      <c r="C90" s="1">
        <f t="shared" si="2"/>
        <v>369.28</v>
      </c>
      <c r="D90" s="3">
        <f t="shared" si="4"/>
        <v>0.0146448688</v>
      </c>
      <c r="E90" s="1"/>
      <c r="F90" s="1">
        <f t="shared" si="5"/>
        <v>85</v>
      </c>
      <c r="G90" s="104" t="s">
        <v>147</v>
      </c>
      <c r="H90" s="118">
        <v>317.61</v>
      </c>
      <c r="I90" s="104"/>
      <c r="J90" s="104"/>
      <c r="K90" s="104"/>
      <c r="L90" s="104"/>
      <c r="M90" s="10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 t="shared" si="3"/>
        <v>20</v>
      </c>
      <c r="B91" s="1" t="str">
        <f t="shared" si="1"/>
        <v>Feb 27, 2024</v>
      </c>
      <c r="C91" s="1">
        <f t="shared" si="2"/>
        <v>366.97</v>
      </c>
      <c r="D91" s="3">
        <f t="shared" si="4"/>
        <v>-0.006255415945</v>
      </c>
      <c r="E91" s="1"/>
      <c r="F91" s="1">
        <f t="shared" si="5"/>
        <v>86</v>
      </c>
      <c r="G91" s="104" t="s">
        <v>148</v>
      </c>
      <c r="H91" s="117">
        <v>314.02</v>
      </c>
      <c r="I91" s="104"/>
      <c r="J91" s="104"/>
      <c r="K91" s="104"/>
      <c r="L91" s="104"/>
      <c r="M91" s="10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 t="shared" si="3"/>
        <v>19</v>
      </c>
      <c r="B92" s="1" t="str">
        <f t="shared" si="1"/>
        <v>Feb 28, 2024</v>
      </c>
      <c r="C92" s="1">
        <f t="shared" si="2"/>
        <v>365.47</v>
      </c>
      <c r="D92" s="3">
        <f t="shared" si="4"/>
        <v>-0.004087527591</v>
      </c>
      <c r="E92" s="1"/>
      <c r="F92" s="1">
        <f t="shared" si="5"/>
        <v>87</v>
      </c>
      <c r="G92" s="104" t="s">
        <v>149</v>
      </c>
      <c r="H92" s="118">
        <v>318.9</v>
      </c>
      <c r="I92" s="104"/>
      <c r="J92" s="104"/>
      <c r="K92" s="104"/>
      <c r="L92" s="104"/>
      <c r="M92" s="10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 t="shared" si="3"/>
        <v>18</v>
      </c>
      <c r="B93" s="1" t="str">
        <f t="shared" si="1"/>
        <v>Feb 29, 2024</v>
      </c>
      <c r="C93" s="1">
        <f t="shared" si="2"/>
        <v>373.8</v>
      </c>
      <c r="D93" s="3">
        <f t="shared" si="4"/>
        <v>0.02279256847</v>
      </c>
      <c r="E93" s="1"/>
      <c r="F93" s="1">
        <f t="shared" si="5"/>
        <v>88</v>
      </c>
      <c r="G93" s="104" t="s">
        <v>150</v>
      </c>
      <c r="H93" s="118">
        <v>317.59</v>
      </c>
      <c r="I93" s="104"/>
      <c r="J93" s="104"/>
      <c r="K93" s="104"/>
      <c r="L93" s="104"/>
      <c r="M93" s="10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 t="shared" si="3"/>
        <v>17</v>
      </c>
      <c r="B94" s="1" t="str">
        <f t="shared" si="1"/>
        <v>Mar 01, 2024</v>
      </c>
      <c r="C94" s="1">
        <f t="shared" si="2"/>
        <v>378.21</v>
      </c>
      <c r="D94" s="3">
        <f t="shared" si="4"/>
        <v>0.01179775281</v>
      </c>
      <c r="E94" s="1"/>
      <c r="F94" s="1">
        <f t="shared" si="5"/>
        <v>89</v>
      </c>
      <c r="G94" s="104" t="s">
        <v>151</v>
      </c>
      <c r="H94" s="118">
        <v>315.12</v>
      </c>
      <c r="I94" s="104"/>
      <c r="J94" s="104"/>
      <c r="K94" s="104"/>
      <c r="L94" s="104"/>
      <c r="M94" s="10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 t="shared" si="3"/>
        <v>16</v>
      </c>
      <c r="B95" s="1" t="str">
        <f t="shared" si="1"/>
        <v>Mar 02, 2024</v>
      </c>
      <c r="C95" s="1">
        <f t="shared" si="2"/>
        <v>374.7</v>
      </c>
      <c r="D95" s="3">
        <f t="shared" si="4"/>
        <v>-0.00928055842</v>
      </c>
      <c r="E95" s="1"/>
      <c r="F95" s="1">
        <f t="shared" si="5"/>
        <v>90</v>
      </c>
      <c r="G95" s="104" t="s">
        <v>152</v>
      </c>
      <c r="H95" s="118">
        <v>314.89</v>
      </c>
      <c r="I95" s="104"/>
      <c r="J95" s="104"/>
      <c r="K95" s="104"/>
      <c r="L95" s="104"/>
      <c r="M95" s="10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 t="shared" si="3"/>
        <v>15</v>
      </c>
      <c r="B96" s="1" t="str">
        <f t="shared" si="1"/>
        <v>Mar 04, 2024</v>
      </c>
      <c r="C96" s="1">
        <f t="shared" si="2"/>
        <v>373.51</v>
      </c>
      <c r="D96" s="3">
        <f t="shared" si="4"/>
        <v>-0.003175874033</v>
      </c>
      <c r="E96" s="1"/>
      <c r="F96" s="1">
        <f t="shared" si="5"/>
        <v>91</v>
      </c>
      <c r="G96" s="104" t="s">
        <v>153</v>
      </c>
      <c r="H96" s="118">
        <v>314.48</v>
      </c>
      <c r="I96" s="104"/>
      <c r="J96" s="104"/>
      <c r="K96" s="104"/>
      <c r="L96" s="104"/>
      <c r="M96" s="10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 t="shared" si="3"/>
        <v>14</v>
      </c>
      <c r="B97" s="1" t="str">
        <f t="shared" si="1"/>
        <v>Mar 05, 2024</v>
      </c>
      <c r="C97" s="1">
        <f t="shared" si="2"/>
        <v>383.65</v>
      </c>
      <c r="D97" s="3">
        <f t="shared" si="4"/>
        <v>0.02714786753</v>
      </c>
      <c r="E97" s="1"/>
      <c r="F97" s="1">
        <f t="shared" si="5"/>
        <v>92</v>
      </c>
      <c r="G97" s="104" t="s">
        <v>154</v>
      </c>
      <c r="H97" s="117">
        <v>309.96</v>
      </c>
      <c r="I97" s="104"/>
      <c r="J97" s="104"/>
      <c r="K97" s="104"/>
      <c r="L97" s="104"/>
      <c r="M97" s="10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 t="shared" si="3"/>
        <v>13</v>
      </c>
      <c r="B98" s="1" t="str">
        <f t="shared" si="1"/>
        <v>Mar 06, 2024</v>
      </c>
      <c r="C98" s="1">
        <f t="shared" si="2"/>
        <v>373.92</v>
      </c>
      <c r="D98" s="3">
        <f t="shared" si="4"/>
        <v>-0.02536165776</v>
      </c>
      <c r="E98" s="1"/>
      <c r="F98" s="1">
        <f t="shared" si="5"/>
        <v>93</v>
      </c>
      <c r="G98" s="104" t="s">
        <v>195</v>
      </c>
      <c r="H98" s="118">
        <v>313.15</v>
      </c>
      <c r="I98" s="104"/>
      <c r="J98" s="104"/>
      <c r="K98" s="104"/>
      <c r="L98" s="104"/>
      <c r="M98" s="10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 t="shared" si="3"/>
        <v>12</v>
      </c>
      <c r="B99" s="1" t="str">
        <f t="shared" si="1"/>
        <v>Mar 07, 2024</v>
      </c>
      <c r="C99" s="1">
        <f t="shared" si="2"/>
        <v>378.35</v>
      </c>
      <c r="D99" s="3">
        <f t="shared" si="4"/>
        <v>0.011847454</v>
      </c>
      <c r="E99" s="1"/>
      <c r="F99" s="1">
        <f t="shared" si="5"/>
        <v>94</v>
      </c>
      <c r="G99" s="104" t="s">
        <v>155</v>
      </c>
      <c r="H99" s="117">
        <v>311.8</v>
      </c>
      <c r="I99" s="104"/>
      <c r="J99" s="104"/>
      <c r="K99" s="104"/>
      <c r="L99" s="104"/>
      <c r="M99" s="10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 t="shared" si="3"/>
        <v>11</v>
      </c>
      <c r="B100" s="1" t="str">
        <f t="shared" si="1"/>
        <v>Mar 11, 2024</v>
      </c>
      <c r="C100" s="1">
        <f t="shared" si="2"/>
        <v>379.54</v>
      </c>
      <c r="D100" s="3">
        <f t="shared" si="4"/>
        <v>0.003145235893</v>
      </c>
      <c r="E100" s="1"/>
      <c r="F100" s="1">
        <f t="shared" si="5"/>
        <v>95</v>
      </c>
      <c r="G100" s="104" t="s">
        <v>156</v>
      </c>
      <c r="H100" s="118">
        <v>313.92</v>
      </c>
      <c r="I100" s="104"/>
      <c r="J100" s="104"/>
      <c r="K100" s="104"/>
      <c r="L100" s="104"/>
      <c r="M100" s="10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 t="shared" si="3"/>
        <v>10</v>
      </c>
      <c r="B101" s="1" t="str">
        <f t="shared" si="1"/>
        <v>Mar 12, 2024</v>
      </c>
      <c r="C101" s="1">
        <f t="shared" si="2"/>
        <v>375.44</v>
      </c>
      <c r="D101" s="3">
        <f t="shared" si="4"/>
        <v>-0.01080255046</v>
      </c>
      <c r="E101" s="1"/>
      <c r="F101" s="1">
        <f t="shared" si="5"/>
        <v>96</v>
      </c>
      <c r="G101" s="104" t="s">
        <v>157</v>
      </c>
      <c r="H101" s="117">
        <v>311.17</v>
      </c>
      <c r="I101" s="104"/>
      <c r="J101" s="104"/>
      <c r="K101" s="104"/>
      <c r="L101" s="104"/>
      <c r="M101" s="10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 t="shared" si="3"/>
        <v>9</v>
      </c>
      <c r="B102" s="1" t="str">
        <f t="shared" si="1"/>
        <v>Mar 13, 2024</v>
      </c>
      <c r="C102" s="1">
        <f t="shared" si="2"/>
        <v>382.16</v>
      </c>
      <c r="D102" s="3">
        <f t="shared" si="4"/>
        <v>0.01789899851</v>
      </c>
      <c r="E102" s="1"/>
      <c r="F102" s="1">
        <f t="shared" si="5"/>
        <v>97</v>
      </c>
      <c r="G102" s="104" t="s">
        <v>158</v>
      </c>
      <c r="H102" s="117">
        <v>312.01</v>
      </c>
      <c r="I102" s="104"/>
      <c r="J102" s="104"/>
      <c r="K102" s="104"/>
      <c r="L102" s="104"/>
      <c r="M102" s="10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 t="shared" si="3"/>
        <v>8</v>
      </c>
      <c r="B103" s="1" t="str">
        <f t="shared" si="1"/>
        <v>Mar 14, 2024</v>
      </c>
      <c r="C103" s="1">
        <f t="shared" si="2"/>
        <v>385.17</v>
      </c>
      <c r="D103" s="3">
        <f t="shared" si="4"/>
        <v>0.007876282185</v>
      </c>
      <c r="E103" s="1"/>
      <c r="F103" s="1">
        <f t="shared" si="5"/>
        <v>98</v>
      </c>
      <c r="G103" s="104" t="s">
        <v>159</v>
      </c>
      <c r="H103" s="118">
        <v>314.55</v>
      </c>
      <c r="I103" s="104"/>
      <c r="J103" s="104"/>
      <c r="K103" s="104"/>
      <c r="L103" s="104"/>
      <c r="M103" s="10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 t="shared" si="3"/>
        <v>7</v>
      </c>
      <c r="B104" s="1" t="str">
        <f t="shared" si="1"/>
        <v>Mar 15, 2024</v>
      </c>
      <c r="C104" s="1">
        <f t="shared" si="2"/>
        <v>395.03</v>
      </c>
      <c r="D104" s="3">
        <f t="shared" si="4"/>
        <v>0.02559908612</v>
      </c>
      <c r="E104" s="1"/>
      <c r="F104" s="1">
        <f t="shared" si="5"/>
        <v>99</v>
      </c>
      <c r="G104" s="104" t="s">
        <v>196</v>
      </c>
      <c r="H104" s="117">
        <v>313.33</v>
      </c>
      <c r="I104" s="104"/>
      <c r="J104" s="104"/>
      <c r="K104" s="104"/>
      <c r="L104" s="104"/>
      <c r="M104" s="10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 t="shared" si="3"/>
        <v>6</v>
      </c>
      <c r="B105" s="1" t="str">
        <f t="shared" si="1"/>
        <v>Mar 18, 2024</v>
      </c>
      <c r="C105" s="1">
        <f t="shared" si="2"/>
        <v>384.85</v>
      </c>
      <c r="D105" s="3">
        <f t="shared" si="4"/>
        <v>-0.02577019467</v>
      </c>
      <c r="E105" s="1"/>
      <c r="F105" s="1">
        <f t="shared" si="5"/>
        <v>100</v>
      </c>
      <c r="G105" s="104" t="s">
        <v>161</v>
      </c>
      <c r="H105" s="117">
        <v>313.98</v>
      </c>
      <c r="I105" s="104"/>
      <c r="J105" s="104"/>
      <c r="K105" s="104"/>
      <c r="L105" s="104"/>
      <c r="M105" s="10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 t="shared" si="3"/>
        <v>5</v>
      </c>
      <c r="B106" s="1" t="str">
        <f t="shared" si="1"/>
        <v>Mar 19, 2024</v>
      </c>
      <c r="C106" s="1">
        <f t="shared" si="2"/>
        <v>383.06</v>
      </c>
      <c r="D106" s="3">
        <f t="shared" si="4"/>
        <v>-0.004651162791</v>
      </c>
      <c r="E106" s="1"/>
      <c r="F106" s="1">
        <f t="shared" si="5"/>
        <v>101</v>
      </c>
      <c r="G106" s="104" t="s">
        <v>162</v>
      </c>
      <c r="H106" s="118">
        <v>314.13</v>
      </c>
      <c r="I106" s="104"/>
      <c r="J106" s="104"/>
      <c r="K106" s="104"/>
      <c r="L106" s="104"/>
      <c r="M106" s="10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 t="shared" si="3"/>
        <v>4</v>
      </c>
      <c r="B107" s="1" t="str">
        <f t="shared" si="1"/>
        <v>Mar 20, 2024</v>
      </c>
      <c r="C107" s="1">
        <f t="shared" si="2"/>
        <v>370.23</v>
      </c>
      <c r="D107" s="3">
        <f t="shared" si="4"/>
        <v>-0.0334934475</v>
      </c>
      <c r="E107" s="1"/>
      <c r="F107" s="1">
        <f t="shared" si="5"/>
        <v>102</v>
      </c>
      <c r="G107" s="104" t="s">
        <v>163</v>
      </c>
      <c r="H107" s="118">
        <v>311.66</v>
      </c>
      <c r="I107" s="104"/>
      <c r="J107" s="104"/>
      <c r="K107" s="104"/>
      <c r="L107" s="104"/>
      <c r="M107" s="10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f t="shared" si="3"/>
        <v>3</v>
      </c>
      <c r="B108" s="1" t="str">
        <f t="shared" si="1"/>
        <v>Mar 21, 2024</v>
      </c>
      <c r="C108" s="1">
        <f t="shared" si="2"/>
        <v>375.23</v>
      </c>
      <c r="D108" s="3">
        <f t="shared" si="4"/>
        <v>0.01350511844</v>
      </c>
      <c r="E108" s="1"/>
      <c r="F108" s="1">
        <f t="shared" si="5"/>
        <v>103</v>
      </c>
      <c r="G108" s="104" t="s">
        <v>164</v>
      </c>
      <c r="H108" s="118">
        <v>309.97</v>
      </c>
      <c r="I108" s="104"/>
      <c r="J108" s="104"/>
      <c r="K108" s="104"/>
      <c r="L108" s="104"/>
      <c r="M108" s="10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f t="shared" si="3"/>
        <v>2</v>
      </c>
      <c r="B109" s="1" t="str">
        <f t="shared" si="1"/>
        <v>Mar 22, 2024</v>
      </c>
      <c r="C109" s="1">
        <f t="shared" si="2"/>
        <v>375.98</v>
      </c>
      <c r="D109" s="3">
        <f t="shared" si="4"/>
        <v>0.001998774085</v>
      </c>
      <c r="E109" s="1"/>
      <c r="F109" s="1">
        <f t="shared" si="5"/>
        <v>104</v>
      </c>
      <c r="G109" s="104" t="s">
        <v>165</v>
      </c>
      <c r="H109" s="118">
        <v>305.39</v>
      </c>
      <c r="I109" s="104"/>
      <c r="J109" s="104"/>
      <c r="K109" s="104"/>
      <c r="L109" s="104"/>
      <c r="M109" s="10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>
        <f t="shared" si="3"/>
        <v>1</v>
      </c>
      <c r="B110" s="1" t="str">
        <f t="shared" si="1"/>
        <v>Mar 26, 2024</v>
      </c>
      <c r="C110" s="1">
        <f t="shared" si="2"/>
        <v>375.94</v>
      </c>
      <c r="D110" s="3">
        <f t="shared" si="4"/>
        <v>-0.0001063886377</v>
      </c>
      <c r="E110" s="1"/>
      <c r="F110" s="1">
        <f t="shared" si="5"/>
        <v>105</v>
      </c>
      <c r="G110" s="104" t="s">
        <v>166</v>
      </c>
      <c r="H110" s="117">
        <v>298.35</v>
      </c>
      <c r="I110" s="104"/>
      <c r="J110" s="104"/>
      <c r="K110" s="104"/>
      <c r="L110" s="104"/>
      <c r="M110" s="10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